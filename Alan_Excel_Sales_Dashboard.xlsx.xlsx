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43fdb849edb24d19/Desktop/"/>
    </mc:Choice>
  </mc:AlternateContent>
  <xr:revisionPtr revIDLastSave="58" documentId="8_{D39BF74E-985D-40D8-A326-276813613549}" xr6:coauthVersionLast="47" xr6:coauthVersionMax="47" xr10:uidLastSave="{98C2801D-1E9E-43B2-8CCE-E8DA2C5BC195}"/>
  <bookViews>
    <workbookView xWindow="-98" yWindow="-98" windowWidth="21795" windowHeight="13695" xr2:uid="{00000000-000D-0000-FFFF-FFFF00000000}"/>
  </bookViews>
  <sheets>
    <sheet name="Dashboard" sheetId="1" r:id="rId1"/>
    <sheet name="pivot_1" sheetId="5" r:id="rId2"/>
    <sheet name="pivot_2" sheetId="6" r:id="rId3"/>
    <sheet name="Sales Data" sheetId="2" r:id="rId4"/>
    <sheet name="Project Guide" sheetId="3" r:id="rId5"/>
  </sheets>
  <calcPr calcId="191029"/>
  <pivotCaches>
    <pivotCache cacheId="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2" i="1"/>
  <c r="E11" i="1"/>
  <c r="B11" i="1"/>
  <c r="E10" i="1"/>
  <c r="B10" i="1"/>
  <c r="E9" i="1"/>
  <c r="B9" i="1"/>
  <c r="E8" i="1"/>
  <c r="B8" i="1"/>
  <c r="J4" i="1"/>
  <c r="D4" i="1"/>
  <c r="G4" i="1" s="1"/>
  <c r="A4" i="1"/>
</calcChain>
</file>

<file path=xl/sharedStrings.xml><?xml version="1.0" encoding="utf-8"?>
<sst xmlns="http://schemas.openxmlformats.org/spreadsheetml/2006/main" count="1102" uniqueCount="269">
  <si>
    <t>Total Sales</t>
  </si>
  <si>
    <t>Total Profit</t>
  </si>
  <si>
    <t>Profit Margin</t>
  </si>
  <si>
    <t>Orders</t>
  </si>
  <si>
    <t>Month</t>
  </si>
  <si>
    <t>Sales</t>
  </si>
  <si>
    <t>Region</t>
  </si>
  <si>
    <t>Profit</t>
  </si>
  <si>
    <t>Jan 2026</t>
  </si>
  <si>
    <t>North</t>
  </si>
  <si>
    <t>Feb 2026</t>
  </si>
  <si>
    <t>South</t>
  </si>
  <si>
    <t>Mar 2026</t>
  </si>
  <si>
    <t>East</t>
  </si>
  <si>
    <t>Apr 2026</t>
  </si>
  <si>
    <t>West</t>
  </si>
  <si>
    <t>May 2026</t>
  </si>
  <si>
    <t>Jun 2026</t>
  </si>
  <si>
    <t>Order ID</t>
  </si>
  <si>
    <t>Order Date</t>
  </si>
  <si>
    <t>Product</t>
  </si>
  <si>
    <t>Category</t>
  </si>
  <si>
    <t>Sales Rep</t>
  </si>
  <si>
    <t>Quantity</t>
  </si>
  <si>
    <t>Unit Price</t>
  </si>
  <si>
    <t>Discount</t>
  </si>
  <si>
    <t>Cost</t>
  </si>
  <si>
    <t>ORD-1001</t>
  </si>
  <si>
    <t>Desk Lamp</t>
  </si>
  <si>
    <t>Office</t>
  </si>
  <si>
    <t>Daniel</t>
  </si>
  <si>
    <t>ORD-1002</t>
  </si>
  <si>
    <t>USB-C Hub</t>
  </si>
  <si>
    <t>Electronics</t>
  </si>
  <si>
    <t>Fatima</t>
  </si>
  <si>
    <t>ORD-1003</t>
  </si>
  <si>
    <t>Notebook Set</t>
  </si>
  <si>
    <t>Stationery</t>
  </si>
  <si>
    <t>George</t>
  </si>
  <si>
    <t>ORD-1004</t>
  </si>
  <si>
    <t>Water Bottle</t>
  </si>
  <si>
    <t>Lifestyle</t>
  </si>
  <si>
    <t>Lina</t>
  </si>
  <si>
    <t>ORD-1005</t>
  </si>
  <si>
    <t>Laptop Stand</t>
  </si>
  <si>
    <t>Omar</t>
  </si>
  <si>
    <t>ORD-1006</t>
  </si>
  <si>
    <t>Wireless Mouse</t>
  </si>
  <si>
    <t>Aisha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</si>
  <si>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</si>
  <si>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</si>
  <si>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</si>
  <si>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</si>
  <si>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</si>
  <si>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</si>
  <si>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</si>
  <si>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</si>
  <si>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</si>
  <si>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</si>
  <si>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</si>
  <si>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</si>
  <si>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</si>
  <si>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</si>
  <si>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</si>
  <si>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</si>
  <si>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</si>
  <si>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</si>
  <si>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</si>
  <si>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</si>
  <si>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</si>
  <si>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</si>
  <si>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</si>
  <si>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</si>
  <si>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</si>
  <si>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</si>
  <si>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</si>
  <si>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</si>
  <si>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</si>
  <si>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</si>
  <si>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</si>
  <si>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</si>
  <si>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</si>
  <si>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</si>
  <si>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</si>
  <si>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</si>
  <si>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</si>
  <si>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</si>
  <si>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</si>
  <si>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</si>
  <si>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</si>
  <si>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</si>
  <si>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</si>
  <si>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</si>
  <si>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</si>
  <si>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</si>
  <si>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</si>
  <si>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</si>
  <si>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</si>
  <si>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</si>
  <si>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</si>
  <si>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</si>
  <si>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</si>
  <si>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</si>
  <si>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</si>
  <si>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</si>
  <si>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</si>
  <si>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</si>
  <si>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</si>
  <si>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</si>
  <si>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</si>
  <si>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</si>
  <si>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</si>
  <si>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</si>
  <si>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</si>
  <si>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</si>
  <si>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</si>
  <si>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</si>
  <si>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</si>
  <si>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</si>
  <si>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</si>
  <si>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</si>
  <si>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</si>
  <si>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</si>
  <si>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</si>
  <si>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</si>
  <si>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</si>
  <si>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</si>
  <si>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</si>
  <si>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</si>
  <si>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</si>
  <si>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</si>
  <si>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</si>
  <si>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</si>
  <si>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</si>
  <si>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</si>
  <si>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</si>
  <si>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</si>
  <si>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</si>
  <si>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</si>
  <si>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</si>
  <si>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</si>
  <si>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</si>
  <si>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</si>
  <si>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</si>
  <si>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</si>
  <si>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</si>
  <si>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</si>
  <si>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</si>
  <si>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</si>
  <si>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</si>
  <si>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</si>
  <si>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</si>
  <si>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</si>
  <si>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</si>
  <si>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</si>
  <si>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</si>
  <si>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</si>
  <si>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</si>
  <si>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</si>
  <si>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</si>
  <si>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</si>
  <si>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</si>
  <si>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</si>
  <si>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</si>
  <si>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</si>
  <si>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</si>
  <si>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</si>
  <si>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</si>
  <si>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</si>
  <si>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</si>
  <si>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</si>
  <si>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</si>
  <si>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</si>
  <si>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</si>
  <si>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</si>
  <si>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</si>
  <si>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</si>
  <si>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</si>
  <si>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</si>
  <si>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</si>
  <si>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</si>
  <si>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</si>
  <si>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</si>
  <si>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</si>
  <si>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</si>
  <si>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</si>
  <si>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</si>
  <si>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</si>
  <si>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</si>
  <si>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</si>
  <si>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</si>
  <si>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</si>
  <si>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</si>
  <si>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</si>
  <si>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</si>
  <si>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</si>
  <si>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</si>
  <si>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</si>
  <si>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</si>
  <si>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</si>
  <si>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</si>
  <si>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</si>
  <si>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</si>
  <si>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</si>
  <si>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</si>
  <si>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</si>
  <si>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</si>
  <si>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</si>
  <si>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</si>
  <si>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</si>
  <si>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</si>
  <si>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</si>
  <si>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</si>
  <si>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</si>
  <si>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</si>
  <si>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</si>
  <si>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</si>
  <si>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</si>
  <si>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</si>
  <si>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</si>
  <si>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</si>
  <si>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</si>
  <si>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</si>
  <si>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</si>
  <si>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</si>
  <si>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</si>
  <si>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</si>
  <si>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</si>
  <si>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</si>
  <si>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</si>
  <si>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</si>
  <si>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</si>
  <si>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</si>
  <si>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</si>
  <si>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</si>
  <si>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</si>
  <si>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</si>
  <si>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</si>
  <si>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</si>
  <si>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</si>
  <si>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</si>
  <si>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</si>
  <si>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</si>
  <si>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</si>
  <si>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</si>
  <si>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</si>
  <si>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</si>
  <si>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</si>
  <si>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</si>
  <si>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</si>
  <si>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</si>
  <si>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</si>
  <si>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</si>
  <si>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How to Turn This Into Two Upwork Portfolio Projects</t>
  </si>
  <si>
    <t>1. Excel Sales Dashboard</t>
  </si>
  <si>
    <t>Use the Sales Data sheet. Create PivotTables for monthly sales, region profit, and product sales. Add PivotCharts and slicers for Region and Category. The Dashboard sheet is a sample design you can use for screenshots. Save your own finished version with a clear title and no company data.</t>
  </si>
  <si>
    <t>2. Power Query Data Cleaning &amp; Consolidation</t>
  </si>
  <si>
    <t>Open the three CSV files in the power_query_monthly_files folder through Data &gt; Get Data &gt; From File &gt; From Folder. Combine the files. Clean spaces and capitalization, set correct data types, remove duplicates, and replace missing Unit Price with 0. Load the final clean table to a new worksheet. Take before-and-after screenshots for your portfolio.</t>
  </si>
  <si>
    <t>Row Labels</t>
  </si>
  <si>
    <t>Grand Total</t>
  </si>
  <si>
    <t>Sum of Sales</t>
  </si>
  <si>
    <t>Jan</t>
  </si>
  <si>
    <t>Feb</t>
  </si>
  <si>
    <t>Mar</t>
  </si>
  <si>
    <t>Apr</t>
  </si>
  <si>
    <t>May</t>
  </si>
  <si>
    <t>Jun</t>
  </si>
  <si>
    <t>Sum of Profit</t>
  </si>
  <si>
    <t>Sales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</si>
</sst>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&quot;$&quot;#,##0.00"/>
    <numFmt numFmtId="166" formatCode="&quot;$&quot;#,##0"/>
    <numFmt numFmtId="167" formatCode="0.0%"/>
  </numFmts>
  <fonts count="6">
    <font>
      <sz val="11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b/>
      <sz val="11"/>
      <color rgb="FF17365D"/>
      <name val="Carlito"/>
    </font>
    <font>
      <b/>
      <sz val="16"/>
      <color rgb="FFFFFFFF"/>
      <name val="Carlito"/>
    </font>
    <font>
      <b/>
      <sz val="13"/>
      <color rgb="FF17365D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5B9BD5"/>
      </patternFill>
    </fill>
    <fill>
      <patternFill patternType="solid">
        <fgColor rgb="FFD9EAF7"/>
      </patternFill>
    </fill>
  </fills>
  <borders count="14">
    <border>
      <left/>
      <right/>
      <top/>
      <bottom/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/>
      <bottom/>
      <diagonal/>
    </border>
    <border>
      <left/>
      <right style="thin">
        <color rgb="FFB7C9D6"/>
      </right>
      <top/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 style="medium">
        <color rgb="FF5B9BD5"/>
      </left>
      <right/>
      <top style="medium">
        <color rgb="FF5B9BD5"/>
      </top>
      <bottom/>
      <diagonal/>
    </border>
    <border>
      <left/>
      <right style="medium">
        <color rgb="FF5B9BD5"/>
      </right>
      <top style="medium">
        <color rgb="FF5B9BD5"/>
      </top>
      <bottom/>
      <diagonal/>
    </border>
    <border>
      <left style="medium">
        <color rgb="FF5B9BD5"/>
      </left>
      <right/>
      <top/>
      <bottom style="medium">
        <color rgb="FF5B9BD5"/>
      </bottom>
      <diagonal/>
    </border>
    <border>
      <left/>
      <right style="medium">
        <color rgb="FF5B9BD5"/>
      </right>
      <top/>
      <bottom style="medium">
        <color rgb="FF5B9BD5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164" fontId="0" fillId="0" borderId="0" xfId="0" applyNumberFormat="1"/>
    <xf numFmtId="164" fontId="0" fillId="0" borderId="7" xfId="0" applyNumberFormat="1" applyBorder="1"/>
    <xf numFmtId="3" fontId="0" fillId="0" borderId="0" xfId="0" applyNumberFormat="1"/>
    <xf numFmtId="3" fontId="0" fillId="0" borderId="7" xfId="0" applyNumberFormat="1" applyBorder="1"/>
    <xf numFmtId="165" fontId="0" fillId="0" borderId="0" xfId="0" applyNumberFormat="1"/>
    <xf numFmtId="165" fontId="0" fillId="0" borderId="7" xfId="0" applyNumberFormat="1" applyBorder="1"/>
    <xf numFmtId="9" fontId="0" fillId="0" borderId="0" xfId="0" applyNumberFormat="1"/>
    <xf numFmtId="9" fontId="0" fillId="0" borderId="7" xfId="0" applyNumberFormat="1" applyBorder="1"/>
    <xf numFmtId="165" fontId="0" fillId="0" borderId="5" xfId="0" applyNumberFormat="1" applyBorder="1"/>
    <xf numFmtId="165" fontId="0" fillId="0" borderId="8" xfId="0" applyNumberFormat="1" applyBorder="1"/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166" fontId="3" fillId="4" borderId="11" xfId="0" applyNumberFormat="1" applyFont="1" applyFill="1" applyBorder="1" applyAlignment="1">
      <alignment horizontal="center" vertical="center"/>
    </xf>
    <xf numFmtId="167" fontId="3" fillId="4" borderId="11" xfId="0" applyNumberFormat="1" applyFont="1" applyFill="1" applyBorder="1" applyAlignment="1">
      <alignment horizontal="center" vertical="center"/>
    </xf>
    <xf numFmtId="3" fontId="3" fillId="4" borderId="11" xfId="0" applyNumberFormat="1" applyFont="1" applyFill="1" applyBorder="1" applyAlignment="1">
      <alignment horizontal="center" vertical="center"/>
    </xf>
    <xf numFmtId="0" fontId="0" fillId="0" borderId="13" xfId="0" applyBorder="1"/>
    <xf numFmtId="0" fontId="1" fillId="5" borderId="13" xfId="0" applyFont="1" applyFill="1" applyBorder="1"/>
    <xf numFmtId="166" fontId="0" fillId="0" borderId="13" xfId="0" applyNumberFormat="1" applyBorder="1"/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5" fillId="6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[Alan_Excel_Sales_Dashboard.xlsx.xlsx]pivot_1!PivotTable2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480314960629921"/>
          <c:y val="0.26328484981044037"/>
          <c:w val="0.85297462817147851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strRef>
              <c:f>pivot_1!$B$3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pivot_1!$A$4:$A$10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pivot_1!$B$4:$B$10</c:f>
              <c:numCache>
                <c:formatCode>"$"#,##0</c:formatCode>
                <c:ptCount val="6"/>
                <c:pt idx="0">
                  <c:v>6435.5500000000011</c:v>
                </c:pt>
                <c:pt idx="1">
                  <c:v>7056</c:v>
                </c:pt>
                <c:pt idx="2">
                  <c:v>5967.1000000000013</c:v>
                </c:pt>
                <c:pt idx="3">
                  <c:v>6801.7999999999993</c:v>
                </c:pt>
                <c:pt idx="4">
                  <c:v>7641.1500000000005</c:v>
                </c:pt>
                <c:pt idx="5">
                  <c:v>5925.9999999999991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40-4EF6-927B-C514E059F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6800464"/>
        <c:axId val="286802384"/>
      </c:lineChart>
      <c:catAx>
        <c:axId val="28680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802384"/>
        <c:crosses val="autoZero"/>
        <c:auto val="1"/>
        <c:lblAlgn val="ctr"/>
        <c:lblOffset val="100"/>
        <c:noMultiLvlLbl val="0"/>
      </c:catAx>
      <c:valAx>
        <c:axId val="28680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80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[Alan_Excel_Sales_Dashboard.xlsx.xlsx]pivot_2!PivotTable3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pivot_2!$B$4:$B$8</c:f>
              <c:numCache>
                <c:formatCode>"$"#,##0</c:formatCode>
                <c:ptCount val="4"/>
                <c:pt idx="0">
                  <c:v>4002.1399999999994</c:v>
                </c:pt>
                <c:pt idx="1">
                  <c:v>4498.4600000000009</c:v>
                </c:pt>
                <c:pt idx="2">
                  <c:v>4033.44</c:v>
                </c:pt>
                <c:pt idx="3">
                  <c:v>3580.2399999999993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CC-478F-81C5-22E380401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3614880"/>
        <c:axId val="77602560"/>
      </c:barChart>
      <c:catAx>
        <c:axId val="175361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02560"/>
        <c:crosses val="autoZero"/>
        <c:auto val="1"/>
        <c:lblAlgn val="ctr"/>
        <c:lblOffset val="100"/>
        <c:noMultiLvlLbl val="0"/>
      </c:catAx>
      <c:valAx>
        <c:axId val="7760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61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403049</xdr:colOff>
      <xdr:row>5</xdr:row>
      <xdr:rowOff>151342</xdr:rowOff>
    </xdr:from>
    <xdr:to>
      <xdr:col>12</xdr:col>
      <xdr:colOff>599723</xdr:colOff>
      <xdr:row>28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354132-5A7F-4F04-8939-1CEF93878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13</xdr:row>
      <xdr:rowOff>109422</xdr:rowOff>
    </xdr:from>
    <xdr:to>
      <xdr:col>6</xdr:col>
      <xdr:colOff>388055</xdr:colOff>
      <xdr:row>28</xdr:row>
      <xdr:rowOff>26459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5D326D-64B6-4A71-8D93-BB4F185816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Noble" refreshedDate="46235.574948611109" createdVersion="8" refreshedVersion="8" minRefreshableVersion="3" recordCount="210" xr:uid="{F49236B9-1A44-47AE-AC68-226E041E4D28}">
  <cacheSource type="worksheet">
    <worksheetSource name="SalesData"/>
  </cacheSource>
  <cacheFields count="14">
    <cacheField name="Order ID" numFmtId="0">
      <sharedItems/>
    </cacheField>
    <cacheField name="Order Date" numFmtId="164">
      <sharedItems containsSemiMixedTypes="0" containsNonDate="0" containsDate="1" containsString="0" minDate="2026-01-01T00:00:00" maxDate="2026-06-28T00:00:00" count="162">
        <d v="2026-01-04T00:00:00"/>
        <d v="2026-01-09T00:00:00"/>
        <d v="2026-01-14T00:00:00"/>
        <d v="2026-01-19T00:00:00"/>
        <d v="2026-01-24T00:00:00"/>
        <d v="2026-01-02T00:00:00"/>
        <d v="2026-01-07T00:00:00"/>
        <d v="2026-01-12T00:00:00"/>
        <d v="2026-01-17T00:00:00"/>
        <d v="2026-01-22T00:00:00"/>
        <d v="2026-01-27T00:00:00"/>
        <d v="2026-01-05T00:00:00"/>
        <d v="2026-01-10T00:00:00"/>
        <d v="2026-01-15T00:00:00"/>
        <d v="2026-01-20T00:00:00"/>
        <d v="2026-01-25T00:00:00"/>
        <d v="2026-01-03T00:00:00"/>
        <d v="2026-01-08T00:00:00"/>
        <d v="2026-01-13T00:00:00"/>
        <d v="2026-01-18T00:00:00"/>
        <d v="2026-01-23T00:00:00"/>
        <d v="2026-01-01T00:00:00"/>
        <d v="2026-01-06T00:00:00"/>
        <d v="2026-01-11T00:00:00"/>
        <d v="2026-01-16T00:00:00"/>
        <d v="2026-01-21T00:00:00"/>
        <d v="2026-01-26T00:00:00"/>
        <d v="2026-02-07T00:00:00"/>
        <d v="2026-02-12T00:00:00"/>
        <d v="2026-02-17T00:00:00"/>
        <d v="2026-02-22T00:00:00"/>
        <d v="2026-02-27T00:00:00"/>
        <d v="2026-02-05T00:00:00"/>
        <d v="2026-02-10T00:00:00"/>
        <d v="2026-02-15T00:00:00"/>
        <d v="2026-02-20T00:00:00"/>
        <d v="2026-02-25T00:00:00"/>
        <d v="2026-02-03T00:00:00"/>
        <d v="2026-02-08T00:00:00"/>
        <d v="2026-02-13T00:00:00"/>
        <d v="2026-02-18T00:00:00"/>
        <d v="2026-02-23T00:00:00"/>
        <d v="2026-02-01T00:00:00"/>
        <d v="2026-02-06T00:00:00"/>
        <d v="2026-02-11T00:00:00"/>
        <d v="2026-02-16T00:00:00"/>
        <d v="2026-02-21T00:00:00"/>
        <d v="2026-02-26T00:00:00"/>
        <d v="2026-02-04T00:00:00"/>
        <d v="2026-02-09T00:00:00"/>
        <d v="2026-02-14T00:00:00"/>
        <d v="2026-02-19T00:00:00"/>
        <d v="2026-02-24T00:00:00"/>
        <d v="2026-02-02T00:00:00"/>
        <d v="2026-03-10T00:00:00"/>
        <d v="2026-03-15T00:00:00"/>
        <d v="2026-03-20T00:00:00"/>
        <d v="2026-03-25T00:00:00"/>
        <d v="2026-03-03T00:00:00"/>
        <d v="2026-03-08T00:00:00"/>
        <d v="2026-03-13T00:00:00"/>
        <d v="2026-03-18T00:00:00"/>
        <d v="2026-03-23T00:00:00"/>
        <d v="2026-03-01T00:00:00"/>
        <d v="2026-03-06T00:00:00"/>
        <d v="2026-03-11T00:00:00"/>
        <d v="2026-03-16T00:00:00"/>
        <d v="2026-03-21T00:00:00"/>
        <d v="2026-03-26T00:00:00"/>
        <d v="2026-03-04T00:00:00"/>
        <d v="2026-03-09T00:00:00"/>
        <d v="2026-03-14T00:00:00"/>
        <d v="2026-03-19T00:00:00"/>
        <d v="2026-03-24T00:00:00"/>
        <d v="2026-03-02T00:00:00"/>
        <d v="2026-03-07T00:00:00"/>
        <d v="2026-03-12T00:00:00"/>
        <d v="2026-03-17T00:00:00"/>
        <d v="2026-03-22T00:00:00"/>
        <d v="2026-03-27T00:00:00"/>
        <d v="2026-03-05T00:00:00"/>
        <d v="2026-04-13T00:00:00"/>
        <d v="2026-04-18T00:00:00"/>
        <d v="2026-04-23T00:00:00"/>
        <d v="2026-04-01T00:00:00"/>
        <d v="2026-04-06T00:00:00"/>
        <d v="2026-04-11T00:00:00"/>
        <d v="2026-04-16T00:00:00"/>
        <d v="2026-04-21T00:00:00"/>
        <d v="2026-04-26T00:00:00"/>
        <d v="2026-04-04T00:00:00"/>
        <d v="2026-04-09T00:00:00"/>
        <d v="2026-04-14T00:00:00"/>
        <d v="2026-04-19T00:00:00"/>
        <d v="2026-04-24T00:00:00"/>
        <d v="2026-04-02T00:00:00"/>
        <d v="2026-04-07T00:00:00"/>
        <d v="2026-04-12T00:00:00"/>
        <d v="2026-04-17T00:00:00"/>
        <d v="2026-04-22T00:00:00"/>
        <d v="2026-04-27T00:00:00"/>
        <d v="2026-04-05T00:00:00"/>
        <d v="2026-04-10T00:00:00"/>
        <d v="2026-04-15T00:00:00"/>
        <d v="2026-04-20T00:00:00"/>
        <d v="2026-04-25T00:00:00"/>
        <d v="2026-04-03T00:00:00"/>
        <d v="2026-04-08T00:00:00"/>
        <d v="2026-05-16T00:00:00"/>
        <d v="2026-05-21T00:00:00"/>
        <d v="2026-05-26T00:00:00"/>
        <d v="2026-05-04T00:00:00"/>
        <d v="2026-05-09T00:00:00"/>
        <d v="2026-05-14T00:00:00"/>
        <d v="2026-05-19T00:00:00"/>
        <d v="2026-05-24T00:00:00"/>
        <d v="2026-05-02T00:00:00"/>
        <d v="2026-05-07T00:00:00"/>
        <d v="2026-05-12T00:00:00"/>
        <d v="2026-05-17T00:00:00"/>
        <d v="2026-05-22T00:00:00"/>
        <d v="2026-05-27T00:00:00"/>
        <d v="2026-05-05T00:00:00"/>
        <d v="2026-05-10T00:00:00"/>
        <d v="2026-05-15T00:00:00"/>
        <d v="2026-05-20T00:00:00"/>
        <d v="2026-05-25T00:00:00"/>
        <d v="2026-05-03T00:00:00"/>
        <d v="2026-05-08T00:00:00"/>
        <d v="2026-05-13T00:00:00"/>
        <d v="2026-05-18T00:00:00"/>
        <d v="2026-05-23T00:00:00"/>
        <d v="2026-05-01T00:00:00"/>
        <d v="2026-05-06T00:00:00"/>
        <d v="2026-05-11T00:00:00"/>
        <d v="2026-06-19T00:00:00"/>
        <d v="2026-06-24T00:00:00"/>
        <d v="2026-06-02T00:00:00"/>
        <d v="2026-06-07T00:00:00"/>
        <d v="2026-06-12T00:00:00"/>
        <d v="2026-06-17T00:00:00"/>
        <d v="2026-06-22T00:00:00"/>
        <d v="2026-06-27T00:00:00"/>
        <d v="2026-06-05T00:00:00"/>
        <d v="2026-06-10T00:00:00"/>
        <d v="2026-06-15T00:00:00"/>
        <d v="2026-06-20T00:00:00"/>
        <d v="2026-06-25T00:00:00"/>
        <d v="2026-06-03T00:00:00"/>
        <d v="2026-06-08T00:00:00"/>
        <d v="2026-06-13T00:00:00"/>
        <d v="2026-06-18T00:00:00"/>
        <d v="2026-06-23T00:00:00"/>
        <d v="2026-06-01T00:00:00"/>
        <d v="2026-06-06T00:00:00"/>
        <d v="2026-06-11T00:00:00"/>
        <d v="2026-06-16T00:00:00"/>
        <d v="2026-06-21T00:00:00"/>
        <d v="2026-06-26T00:00:00"/>
        <d v="2026-06-04T00:00:00"/>
        <d v="2026-06-09T00:00:00"/>
        <d v="2026-06-14T00:00:00"/>
      </sharedItems>
      <fieldGroup par="13"/>
    </cacheField>
    <cacheField name="Region" numFmtId="0">
      <sharedItems count="4">
        <s v="South"/>
        <s v="North"/>
        <s v="West"/>
        <s v="East"/>
      </sharedItems>
    </cacheField>
    <cacheField name="Product" numFmtId="0">
      <sharedItems/>
    </cacheField>
    <cacheField name="Category" numFmtId="0">
      <sharedItems/>
    </cacheField>
    <cacheField name="Sales Rep" numFmtId="0">
      <sharedItems/>
    </cacheField>
    <cacheField name="Quantity" numFmtId="3">
      <sharedItems containsSemiMixedTypes="0" containsString="0" containsNumber="1" containsInteger="1" minValue="1" maxValue="9"/>
    </cacheField>
    <cacheField name="Unit Price" numFmtId="165">
      <sharedItems containsSemiMixedTypes="0" containsString="0" containsNumber="1" containsInteger="1" minValue="13" maxValue="65"/>
    </cacheField>
    <cacheField name="Discount" numFmtId="9">
      <sharedItems containsSemiMixedTypes="0" containsString="0" containsNumber="1" minValue="0" maxValue="0.1"/>
    </cacheField>
    <cacheField name="Sales" numFmtId="165">
      <sharedItems containsSemiMixedTypes="0" containsString="0" containsNumber="1" minValue="13" maxValue="585"/>
    </cacheField>
    <cacheField name="Cost" numFmtId="165">
      <sharedItems containsSemiMixedTypes="0" containsString="0" containsNumber="1" minValue="7.98" maxValue="357.12"/>
    </cacheField>
    <cacheField name="Profit" numFmtId="165">
      <sharedItems containsSemiMixedTypes="0" containsString="0" containsNumber="1" minValue="4.29" maxValue="280.8"/>
    </cacheField>
    <cacheField name="Days (Order Date)" numFmtId="0" databaseField="0">
      <fieldGroup base="1">
        <rangePr groupBy="days" startDate="2026-01-01T00:00:00" endDate="2026-06-28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8-06-2026"/>
        </groupItems>
      </fieldGroup>
    </cacheField>
    <cacheField name="Months (Order Date)" numFmtId="0" databaseField="0">
      <fieldGroup base="1">
        <rangePr groupBy="months" startDate="2026-01-01T00:00:00" endDate="2026-06-28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-06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ORD-1001"/>
    <x v="0"/>
    <x v="0"/>
    <s v="Desk Lamp"/>
    <s v="Office"/>
    <s v="Daniel"/>
    <n v="2"/>
    <n v="16"/>
    <n v="0"/>
    <n v="32"/>
    <n v="18.239999999999998"/>
    <n v="13.76"/>
  </r>
  <r>
    <s v="ORD-1002"/>
    <x v="1"/>
    <x v="1"/>
    <s v="USB-C Hub"/>
    <s v="Electronics"/>
    <s v="Fatima"/>
    <n v="9"/>
    <n v="27"/>
    <n v="0"/>
    <n v="243"/>
    <n v="150.66"/>
    <n v="92.34"/>
  </r>
  <r>
    <s v="ORD-1003"/>
    <x v="2"/>
    <x v="2"/>
    <s v="Notebook Set"/>
    <s v="Stationery"/>
    <s v="George"/>
    <n v="7"/>
    <n v="38"/>
    <n v="0"/>
    <n v="266"/>
    <n v="178.22"/>
    <n v="87.78"/>
  </r>
  <r>
    <s v="ORD-1004"/>
    <x v="3"/>
    <x v="3"/>
    <s v="Water Bottle"/>
    <s v="Lifestyle"/>
    <s v="Lina"/>
    <n v="5"/>
    <n v="49"/>
    <n v="0"/>
    <n v="245"/>
    <n v="127.4"/>
    <n v="117.6"/>
  </r>
  <r>
    <s v="ORD-1005"/>
    <x v="4"/>
    <x v="0"/>
    <s v="Laptop Stand"/>
    <s v="Office"/>
    <s v="Omar"/>
    <n v="3"/>
    <n v="60"/>
    <n v="0"/>
    <n v="180"/>
    <n v="102.6"/>
    <n v="77.400000000000006"/>
  </r>
  <r>
    <s v="ORD-1006"/>
    <x v="5"/>
    <x v="1"/>
    <s v="Wireless Mouse"/>
    <s v="Electronics"/>
    <s v="Aisha"/>
    <n v="1"/>
    <n v="16"/>
    <n v="0.1"/>
    <n v="14.4"/>
    <n v="8.93"/>
    <n v="5.47"/>
  </r>
  <r>
    <s v="ORD-1007"/>
    <x v="6"/>
    <x v="2"/>
    <s v="Desk Lamp"/>
    <s v="Office"/>
    <s v="Daniel"/>
    <n v="8"/>
    <n v="27"/>
    <n v="0"/>
    <n v="216"/>
    <n v="144.72"/>
    <n v="71.28"/>
  </r>
  <r>
    <s v="ORD-1008"/>
    <x v="7"/>
    <x v="3"/>
    <s v="USB-C Hub"/>
    <s v="Electronics"/>
    <s v="Fatima"/>
    <n v="6"/>
    <n v="38"/>
    <n v="0"/>
    <n v="228"/>
    <n v="118.56"/>
    <n v="109.44"/>
  </r>
  <r>
    <s v="ORD-1009"/>
    <x v="8"/>
    <x v="0"/>
    <s v="Notebook Set"/>
    <s v="Stationery"/>
    <s v="George"/>
    <n v="4"/>
    <n v="49"/>
    <n v="0"/>
    <n v="196"/>
    <n v="111.72"/>
    <n v="84.28"/>
  </r>
  <r>
    <s v="ORD-1010"/>
    <x v="9"/>
    <x v="1"/>
    <s v="Water Bottle"/>
    <s v="Lifestyle"/>
    <s v="Lina"/>
    <n v="2"/>
    <n v="60"/>
    <n v="0"/>
    <n v="120"/>
    <n v="74.400000000000006"/>
    <n v="45.6"/>
  </r>
  <r>
    <s v="ORD-1011"/>
    <x v="10"/>
    <x v="2"/>
    <s v="Laptop Stand"/>
    <s v="Office"/>
    <s v="Omar"/>
    <n v="9"/>
    <n v="16"/>
    <n v="0.05"/>
    <n v="136.80000000000001"/>
    <n v="91.66"/>
    <n v="45.14"/>
  </r>
  <r>
    <s v="ORD-1012"/>
    <x v="11"/>
    <x v="3"/>
    <s v="Wireless Mouse"/>
    <s v="Electronics"/>
    <s v="Aisha"/>
    <n v="7"/>
    <n v="27"/>
    <n v="0.1"/>
    <n v="170.1"/>
    <n v="88.45"/>
    <n v="81.650000000000006"/>
  </r>
  <r>
    <s v="ORD-1013"/>
    <x v="12"/>
    <x v="0"/>
    <s v="Desk Lamp"/>
    <s v="Office"/>
    <s v="Daniel"/>
    <n v="5"/>
    <n v="38"/>
    <n v="0"/>
    <n v="190"/>
    <n v="108.3"/>
    <n v="81.7"/>
  </r>
  <r>
    <s v="ORD-1014"/>
    <x v="13"/>
    <x v="1"/>
    <s v="USB-C Hub"/>
    <s v="Electronics"/>
    <s v="Fatima"/>
    <n v="3"/>
    <n v="49"/>
    <n v="0"/>
    <n v="147"/>
    <n v="91.14"/>
    <n v="55.86"/>
  </r>
  <r>
    <s v="ORD-1015"/>
    <x v="14"/>
    <x v="2"/>
    <s v="Notebook Set"/>
    <s v="Stationery"/>
    <s v="George"/>
    <n v="1"/>
    <n v="60"/>
    <n v="0"/>
    <n v="60"/>
    <n v="40.200000000000003"/>
    <n v="19.8"/>
  </r>
  <r>
    <s v="ORD-1016"/>
    <x v="15"/>
    <x v="3"/>
    <s v="Water Bottle"/>
    <s v="Lifestyle"/>
    <s v="Lina"/>
    <n v="8"/>
    <n v="16"/>
    <n v="0"/>
    <n v="128"/>
    <n v="66.56"/>
    <n v="61.44"/>
  </r>
  <r>
    <s v="ORD-1017"/>
    <x v="16"/>
    <x v="0"/>
    <s v="Laptop Stand"/>
    <s v="Office"/>
    <s v="Omar"/>
    <n v="6"/>
    <n v="27"/>
    <n v="0"/>
    <n v="162"/>
    <n v="92.34"/>
    <n v="69.66"/>
  </r>
  <r>
    <s v="ORD-1018"/>
    <x v="17"/>
    <x v="1"/>
    <s v="Wireless Mouse"/>
    <s v="Electronics"/>
    <s v="Aisha"/>
    <n v="4"/>
    <n v="38"/>
    <n v="0.1"/>
    <n v="136.80000000000001"/>
    <n v="84.82"/>
    <n v="51.98"/>
  </r>
  <r>
    <s v="ORD-1019"/>
    <x v="18"/>
    <x v="2"/>
    <s v="Desk Lamp"/>
    <s v="Office"/>
    <s v="Daniel"/>
    <n v="2"/>
    <n v="49"/>
    <n v="0"/>
    <n v="98"/>
    <n v="65.66"/>
    <n v="32.340000000000003"/>
  </r>
  <r>
    <s v="ORD-1020"/>
    <x v="19"/>
    <x v="3"/>
    <s v="USB-C Hub"/>
    <s v="Electronics"/>
    <s v="Fatima"/>
    <n v="9"/>
    <n v="60"/>
    <n v="0"/>
    <n v="540"/>
    <n v="280.8"/>
    <n v="259.2"/>
  </r>
  <r>
    <s v="ORD-1021"/>
    <x v="20"/>
    <x v="0"/>
    <s v="Notebook Set"/>
    <s v="Stationery"/>
    <s v="George"/>
    <n v="7"/>
    <n v="16"/>
    <n v="0"/>
    <n v="112"/>
    <n v="63.84"/>
    <n v="48.16"/>
  </r>
  <r>
    <s v="ORD-1022"/>
    <x v="21"/>
    <x v="1"/>
    <s v="Water Bottle"/>
    <s v="Lifestyle"/>
    <s v="Lina"/>
    <n v="5"/>
    <n v="27"/>
    <n v="0.05"/>
    <n v="128.25"/>
    <n v="79.52"/>
    <n v="48.73"/>
  </r>
  <r>
    <s v="ORD-1023"/>
    <x v="22"/>
    <x v="2"/>
    <s v="Laptop Stand"/>
    <s v="Office"/>
    <s v="Omar"/>
    <n v="3"/>
    <n v="38"/>
    <n v="0"/>
    <n v="114"/>
    <n v="76.38"/>
    <n v="37.619999999999997"/>
  </r>
  <r>
    <s v="ORD-1024"/>
    <x v="23"/>
    <x v="3"/>
    <s v="Wireless Mouse"/>
    <s v="Electronics"/>
    <s v="Aisha"/>
    <n v="1"/>
    <n v="49"/>
    <n v="0.1"/>
    <n v="44.1"/>
    <n v="22.93"/>
    <n v="21.17"/>
  </r>
  <r>
    <s v="ORD-1025"/>
    <x v="24"/>
    <x v="0"/>
    <s v="Desk Lamp"/>
    <s v="Office"/>
    <s v="Daniel"/>
    <n v="8"/>
    <n v="60"/>
    <n v="0"/>
    <n v="480"/>
    <n v="273.60000000000002"/>
    <n v="206.4"/>
  </r>
  <r>
    <s v="ORD-1026"/>
    <x v="25"/>
    <x v="1"/>
    <s v="USB-C Hub"/>
    <s v="Electronics"/>
    <s v="Fatima"/>
    <n v="6"/>
    <n v="16"/>
    <n v="0"/>
    <n v="96"/>
    <n v="59.52"/>
    <n v="36.479999999999997"/>
  </r>
  <r>
    <s v="ORD-1027"/>
    <x v="26"/>
    <x v="2"/>
    <s v="Notebook Set"/>
    <s v="Stationery"/>
    <s v="George"/>
    <n v="4"/>
    <n v="27"/>
    <n v="0"/>
    <n v="108"/>
    <n v="72.36"/>
    <n v="35.64"/>
  </r>
  <r>
    <s v="ORD-1028"/>
    <x v="0"/>
    <x v="3"/>
    <s v="Water Bottle"/>
    <s v="Lifestyle"/>
    <s v="Lina"/>
    <n v="2"/>
    <n v="38"/>
    <n v="0"/>
    <n v="76"/>
    <n v="39.520000000000003"/>
    <n v="36.479999999999997"/>
  </r>
  <r>
    <s v="ORD-1029"/>
    <x v="1"/>
    <x v="0"/>
    <s v="Laptop Stand"/>
    <s v="Office"/>
    <s v="Omar"/>
    <n v="9"/>
    <n v="49"/>
    <n v="0"/>
    <n v="441"/>
    <n v="251.37"/>
    <n v="189.63"/>
  </r>
  <r>
    <s v="ORD-1030"/>
    <x v="2"/>
    <x v="1"/>
    <s v="Wireless Mouse"/>
    <s v="Electronics"/>
    <s v="Aisha"/>
    <n v="7"/>
    <n v="60"/>
    <n v="0.1"/>
    <n v="378"/>
    <n v="234.36"/>
    <n v="143.63999999999999"/>
  </r>
  <r>
    <s v="ORD-1031"/>
    <x v="3"/>
    <x v="2"/>
    <s v="Desk Lamp"/>
    <s v="Office"/>
    <s v="Daniel"/>
    <n v="5"/>
    <n v="16"/>
    <n v="0"/>
    <n v="80"/>
    <n v="53.6"/>
    <n v="26.4"/>
  </r>
  <r>
    <s v="ORD-1032"/>
    <x v="4"/>
    <x v="3"/>
    <s v="USB-C Hub"/>
    <s v="Electronics"/>
    <s v="Fatima"/>
    <n v="3"/>
    <n v="27"/>
    <n v="0"/>
    <n v="81"/>
    <n v="42.12"/>
    <n v="38.880000000000003"/>
  </r>
  <r>
    <s v="ORD-1033"/>
    <x v="5"/>
    <x v="0"/>
    <s v="Notebook Set"/>
    <s v="Stationery"/>
    <s v="George"/>
    <n v="1"/>
    <n v="38"/>
    <n v="0.05"/>
    <n v="36.1"/>
    <n v="20.58"/>
    <n v="15.52"/>
  </r>
  <r>
    <s v="ORD-1034"/>
    <x v="6"/>
    <x v="1"/>
    <s v="Water Bottle"/>
    <s v="Lifestyle"/>
    <s v="Lina"/>
    <n v="8"/>
    <n v="49"/>
    <n v="0"/>
    <n v="392"/>
    <n v="243.04"/>
    <n v="148.96"/>
  </r>
  <r>
    <s v="ORD-1035"/>
    <x v="7"/>
    <x v="2"/>
    <s v="Laptop Stand"/>
    <s v="Office"/>
    <s v="Omar"/>
    <n v="6"/>
    <n v="60"/>
    <n v="0"/>
    <n v="360"/>
    <n v="241.2"/>
    <n v="118.8"/>
  </r>
  <r>
    <s v="ORD-1036"/>
    <x v="27"/>
    <x v="3"/>
    <s v="Notebook Set"/>
    <s v="Stationery"/>
    <s v="Fatima"/>
    <n v="3"/>
    <n v="20"/>
    <n v="0"/>
    <n v="60"/>
    <n v="37.200000000000003"/>
    <n v="22.8"/>
  </r>
  <r>
    <s v="ORD-1037"/>
    <x v="28"/>
    <x v="0"/>
    <s v="Water Bottle"/>
    <s v="Lifestyle"/>
    <s v="George"/>
    <n v="1"/>
    <n v="31"/>
    <n v="0"/>
    <n v="31"/>
    <n v="20.77"/>
    <n v="10.23"/>
  </r>
  <r>
    <s v="ORD-1038"/>
    <x v="29"/>
    <x v="1"/>
    <s v="Laptop Stand"/>
    <s v="Office"/>
    <s v="Lina"/>
    <n v="8"/>
    <n v="42"/>
    <n v="0"/>
    <n v="336"/>
    <n v="174.72"/>
    <n v="161.28"/>
  </r>
  <r>
    <s v="ORD-1039"/>
    <x v="30"/>
    <x v="2"/>
    <s v="Wireless Mouse"/>
    <s v="Electronics"/>
    <s v="Omar"/>
    <n v="6"/>
    <n v="53"/>
    <n v="0"/>
    <n v="318"/>
    <n v="181.26"/>
    <n v="136.74"/>
  </r>
  <r>
    <s v="ORD-1040"/>
    <x v="31"/>
    <x v="3"/>
    <s v="Desk Lamp"/>
    <s v="Office"/>
    <s v="Aisha"/>
    <n v="4"/>
    <n v="64"/>
    <n v="0.1"/>
    <n v="230.4"/>
    <n v="142.85"/>
    <n v="87.55"/>
  </r>
  <r>
    <s v="ORD-1041"/>
    <x v="32"/>
    <x v="0"/>
    <s v="USB-C Hub"/>
    <s v="Electronics"/>
    <s v="Daniel"/>
    <n v="2"/>
    <n v="20"/>
    <n v="0"/>
    <n v="40"/>
    <n v="26.8"/>
    <n v="13.2"/>
  </r>
  <r>
    <s v="ORD-1042"/>
    <x v="33"/>
    <x v="1"/>
    <s v="Notebook Set"/>
    <s v="Stationery"/>
    <s v="Fatima"/>
    <n v="9"/>
    <n v="31"/>
    <n v="0"/>
    <n v="279"/>
    <n v="145.08000000000001"/>
    <n v="133.91999999999999"/>
  </r>
  <r>
    <s v="ORD-1043"/>
    <x v="34"/>
    <x v="2"/>
    <s v="Water Bottle"/>
    <s v="Lifestyle"/>
    <s v="George"/>
    <n v="7"/>
    <n v="42"/>
    <n v="0"/>
    <n v="294"/>
    <n v="167.58"/>
    <n v="126.42"/>
  </r>
  <r>
    <s v="ORD-1044"/>
    <x v="35"/>
    <x v="3"/>
    <s v="Laptop Stand"/>
    <s v="Office"/>
    <s v="Lina"/>
    <n v="5"/>
    <n v="53"/>
    <n v="0"/>
    <n v="265"/>
    <n v="164.3"/>
    <n v="100.7"/>
  </r>
  <r>
    <s v="ORD-1045"/>
    <x v="36"/>
    <x v="0"/>
    <s v="Wireless Mouse"/>
    <s v="Electronics"/>
    <s v="Omar"/>
    <n v="3"/>
    <n v="64"/>
    <n v="0.05"/>
    <n v="182.4"/>
    <n v="122.21"/>
    <n v="60.19"/>
  </r>
  <r>
    <s v="ORD-1046"/>
    <x v="37"/>
    <x v="1"/>
    <s v="Desk Lamp"/>
    <s v="Office"/>
    <s v="Aisha"/>
    <n v="1"/>
    <n v="20"/>
    <n v="0.1"/>
    <n v="18"/>
    <n v="9.36"/>
    <n v="8.64"/>
  </r>
  <r>
    <s v="ORD-1047"/>
    <x v="38"/>
    <x v="2"/>
    <s v="USB-C Hub"/>
    <s v="Electronics"/>
    <s v="Daniel"/>
    <n v="8"/>
    <n v="31"/>
    <n v="0"/>
    <n v="248"/>
    <n v="141.36000000000001"/>
    <n v="106.64"/>
  </r>
  <r>
    <s v="ORD-1048"/>
    <x v="39"/>
    <x v="3"/>
    <s v="Notebook Set"/>
    <s v="Stationery"/>
    <s v="Fatima"/>
    <n v="6"/>
    <n v="42"/>
    <n v="0"/>
    <n v="252"/>
    <n v="156.24"/>
    <n v="95.76"/>
  </r>
  <r>
    <s v="ORD-1049"/>
    <x v="40"/>
    <x v="0"/>
    <s v="Water Bottle"/>
    <s v="Lifestyle"/>
    <s v="George"/>
    <n v="4"/>
    <n v="53"/>
    <n v="0"/>
    <n v="212"/>
    <n v="142.04"/>
    <n v="69.959999999999994"/>
  </r>
  <r>
    <s v="ORD-1050"/>
    <x v="41"/>
    <x v="1"/>
    <s v="Laptop Stand"/>
    <s v="Office"/>
    <s v="Lina"/>
    <n v="2"/>
    <n v="64"/>
    <n v="0"/>
    <n v="128"/>
    <n v="66.56"/>
    <n v="61.44"/>
  </r>
  <r>
    <s v="ORD-1051"/>
    <x v="42"/>
    <x v="2"/>
    <s v="Wireless Mouse"/>
    <s v="Electronics"/>
    <s v="Omar"/>
    <n v="9"/>
    <n v="20"/>
    <n v="0"/>
    <n v="180"/>
    <n v="102.6"/>
    <n v="77.400000000000006"/>
  </r>
  <r>
    <s v="ORD-1052"/>
    <x v="43"/>
    <x v="3"/>
    <s v="Desk Lamp"/>
    <s v="Office"/>
    <s v="Aisha"/>
    <n v="7"/>
    <n v="31"/>
    <n v="0.1"/>
    <n v="195.3"/>
    <n v="121.09"/>
    <n v="74.209999999999994"/>
  </r>
  <r>
    <s v="ORD-1053"/>
    <x v="44"/>
    <x v="0"/>
    <s v="USB-C Hub"/>
    <s v="Electronics"/>
    <s v="Daniel"/>
    <n v="5"/>
    <n v="42"/>
    <n v="0"/>
    <n v="210"/>
    <n v="140.69999999999999"/>
    <n v="69.3"/>
  </r>
  <r>
    <s v="ORD-1054"/>
    <x v="45"/>
    <x v="1"/>
    <s v="Notebook Set"/>
    <s v="Stationery"/>
    <s v="Fatima"/>
    <n v="3"/>
    <n v="53"/>
    <n v="0"/>
    <n v="159"/>
    <n v="82.68"/>
    <n v="76.319999999999993"/>
  </r>
  <r>
    <s v="ORD-1055"/>
    <x v="46"/>
    <x v="2"/>
    <s v="Water Bottle"/>
    <s v="Lifestyle"/>
    <s v="George"/>
    <n v="1"/>
    <n v="64"/>
    <n v="0"/>
    <n v="64"/>
    <n v="36.479999999999997"/>
    <n v="27.52"/>
  </r>
  <r>
    <s v="ORD-1056"/>
    <x v="47"/>
    <x v="3"/>
    <s v="Laptop Stand"/>
    <s v="Office"/>
    <s v="Lina"/>
    <n v="8"/>
    <n v="20"/>
    <n v="0.05"/>
    <n v="152"/>
    <n v="94.24"/>
    <n v="57.76"/>
  </r>
  <r>
    <s v="ORD-1057"/>
    <x v="48"/>
    <x v="0"/>
    <s v="Wireless Mouse"/>
    <s v="Electronics"/>
    <s v="Omar"/>
    <n v="6"/>
    <n v="31"/>
    <n v="0"/>
    <n v="186"/>
    <n v="124.62"/>
    <n v="61.38"/>
  </r>
  <r>
    <s v="ORD-1058"/>
    <x v="49"/>
    <x v="1"/>
    <s v="Desk Lamp"/>
    <s v="Office"/>
    <s v="Aisha"/>
    <n v="4"/>
    <n v="42"/>
    <n v="0.1"/>
    <n v="151.19999999999999"/>
    <n v="78.62"/>
    <n v="72.58"/>
  </r>
  <r>
    <s v="ORD-1059"/>
    <x v="50"/>
    <x v="2"/>
    <s v="USB-C Hub"/>
    <s v="Electronics"/>
    <s v="Daniel"/>
    <n v="2"/>
    <n v="53"/>
    <n v="0"/>
    <n v="106"/>
    <n v="60.42"/>
    <n v="45.58"/>
  </r>
  <r>
    <s v="ORD-1060"/>
    <x v="51"/>
    <x v="3"/>
    <s v="Notebook Set"/>
    <s v="Stationery"/>
    <s v="Fatima"/>
    <n v="9"/>
    <n v="64"/>
    <n v="0"/>
    <n v="576"/>
    <n v="357.12"/>
    <n v="218.88"/>
  </r>
  <r>
    <s v="ORD-1061"/>
    <x v="52"/>
    <x v="0"/>
    <s v="Water Bottle"/>
    <s v="Lifestyle"/>
    <s v="George"/>
    <n v="7"/>
    <n v="20"/>
    <n v="0"/>
    <n v="140"/>
    <n v="93.8"/>
    <n v="46.2"/>
  </r>
  <r>
    <s v="ORD-1062"/>
    <x v="53"/>
    <x v="1"/>
    <s v="Laptop Stand"/>
    <s v="Office"/>
    <s v="Lina"/>
    <n v="5"/>
    <n v="31"/>
    <n v="0"/>
    <n v="155"/>
    <n v="80.599999999999994"/>
    <n v="74.400000000000006"/>
  </r>
  <r>
    <s v="ORD-1063"/>
    <x v="27"/>
    <x v="2"/>
    <s v="Wireless Mouse"/>
    <s v="Electronics"/>
    <s v="Omar"/>
    <n v="3"/>
    <n v="42"/>
    <n v="0"/>
    <n v="126"/>
    <n v="71.819999999999993"/>
    <n v="54.18"/>
  </r>
  <r>
    <s v="ORD-1064"/>
    <x v="28"/>
    <x v="3"/>
    <s v="Desk Lamp"/>
    <s v="Office"/>
    <s v="Aisha"/>
    <n v="1"/>
    <n v="53"/>
    <n v="0.1"/>
    <n v="47.7"/>
    <n v="29.57"/>
    <n v="18.13"/>
  </r>
  <r>
    <s v="ORD-1065"/>
    <x v="29"/>
    <x v="0"/>
    <s v="USB-C Hub"/>
    <s v="Electronics"/>
    <s v="Daniel"/>
    <n v="8"/>
    <n v="64"/>
    <n v="0"/>
    <n v="512"/>
    <n v="343.04"/>
    <n v="168.96"/>
  </r>
  <r>
    <s v="ORD-1066"/>
    <x v="30"/>
    <x v="1"/>
    <s v="Notebook Set"/>
    <s v="Stationery"/>
    <s v="Fatima"/>
    <n v="6"/>
    <n v="20"/>
    <n v="0"/>
    <n v="120"/>
    <n v="62.4"/>
    <n v="57.6"/>
  </r>
  <r>
    <s v="ORD-1067"/>
    <x v="31"/>
    <x v="2"/>
    <s v="Water Bottle"/>
    <s v="Lifestyle"/>
    <s v="George"/>
    <n v="4"/>
    <n v="31"/>
    <n v="0.05"/>
    <n v="117.8"/>
    <n v="67.150000000000006"/>
    <n v="50.65"/>
  </r>
  <r>
    <s v="ORD-1068"/>
    <x v="32"/>
    <x v="3"/>
    <s v="Laptop Stand"/>
    <s v="Office"/>
    <s v="Lina"/>
    <n v="2"/>
    <n v="42"/>
    <n v="0"/>
    <n v="84"/>
    <n v="52.08"/>
    <n v="31.92"/>
  </r>
  <r>
    <s v="ORD-1069"/>
    <x v="33"/>
    <x v="0"/>
    <s v="Wireless Mouse"/>
    <s v="Electronics"/>
    <s v="Omar"/>
    <n v="9"/>
    <n v="53"/>
    <n v="0"/>
    <n v="477"/>
    <n v="319.58999999999997"/>
    <n v="157.41"/>
  </r>
  <r>
    <s v="ORD-1070"/>
    <x v="34"/>
    <x v="1"/>
    <s v="Desk Lamp"/>
    <s v="Office"/>
    <s v="Aisha"/>
    <n v="7"/>
    <n v="64"/>
    <n v="0.1"/>
    <n v="403.2"/>
    <n v="209.66"/>
    <n v="193.54"/>
  </r>
  <r>
    <s v="ORD-1071"/>
    <x v="54"/>
    <x v="2"/>
    <s v="Laptop Stand"/>
    <s v="Office"/>
    <s v="George"/>
    <n v="4"/>
    <n v="24"/>
    <n v="0"/>
    <n v="96"/>
    <n v="64.319999999999993"/>
    <n v="31.68"/>
  </r>
  <r>
    <s v="ORD-1072"/>
    <x v="55"/>
    <x v="3"/>
    <s v="Wireless Mouse"/>
    <s v="Electronics"/>
    <s v="Lina"/>
    <n v="2"/>
    <n v="35"/>
    <n v="0"/>
    <n v="70"/>
    <n v="36.4"/>
    <n v="33.6"/>
  </r>
  <r>
    <s v="ORD-1073"/>
    <x v="56"/>
    <x v="0"/>
    <s v="Desk Lamp"/>
    <s v="Office"/>
    <s v="Omar"/>
    <n v="9"/>
    <n v="46"/>
    <n v="0"/>
    <n v="414"/>
    <n v="235.98"/>
    <n v="178.02"/>
  </r>
  <r>
    <s v="ORD-1074"/>
    <x v="57"/>
    <x v="1"/>
    <s v="USB-C Hub"/>
    <s v="Electronics"/>
    <s v="Aisha"/>
    <n v="7"/>
    <n v="57"/>
    <n v="0.1"/>
    <n v="359.1"/>
    <n v="222.64"/>
    <n v="136.46"/>
  </r>
  <r>
    <s v="ORD-1075"/>
    <x v="58"/>
    <x v="2"/>
    <s v="Notebook Set"/>
    <s v="Stationery"/>
    <s v="Daniel"/>
    <n v="5"/>
    <n v="13"/>
    <n v="0"/>
    <n v="65"/>
    <n v="43.55"/>
    <n v="21.45"/>
  </r>
  <r>
    <s v="ORD-1076"/>
    <x v="59"/>
    <x v="3"/>
    <s v="Water Bottle"/>
    <s v="Lifestyle"/>
    <s v="Fatima"/>
    <n v="3"/>
    <n v="24"/>
    <n v="0"/>
    <n v="72"/>
    <n v="37.44"/>
    <n v="34.56"/>
  </r>
  <r>
    <s v="ORD-1077"/>
    <x v="60"/>
    <x v="0"/>
    <s v="Laptop Stand"/>
    <s v="Office"/>
    <s v="George"/>
    <n v="1"/>
    <n v="35"/>
    <n v="0"/>
    <n v="35"/>
    <n v="19.95"/>
    <n v="15.05"/>
  </r>
  <r>
    <s v="ORD-1078"/>
    <x v="61"/>
    <x v="1"/>
    <s v="Wireless Mouse"/>
    <s v="Electronics"/>
    <s v="Lina"/>
    <n v="8"/>
    <n v="46"/>
    <n v="0"/>
    <n v="368"/>
    <n v="228.16"/>
    <n v="139.84"/>
  </r>
  <r>
    <s v="ORD-1079"/>
    <x v="62"/>
    <x v="2"/>
    <s v="Desk Lamp"/>
    <s v="Office"/>
    <s v="Omar"/>
    <n v="6"/>
    <n v="57"/>
    <n v="0.05"/>
    <n v="324.89999999999998"/>
    <n v="217.68"/>
    <n v="107.22"/>
  </r>
  <r>
    <s v="ORD-1080"/>
    <x v="63"/>
    <x v="3"/>
    <s v="USB-C Hub"/>
    <s v="Electronics"/>
    <s v="Aisha"/>
    <n v="4"/>
    <n v="13"/>
    <n v="0.1"/>
    <n v="46.8"/>
    <n v="24.34"/>
    <n v="22.46"/>
  </r>
  <r>
    <s v="ORD-1081"/>
    <x v="64"/>
    <x v="0"/>
    <s v="Notebook Set"/>
    <s v="Stationery"/>
    <s v="Daniel"/>
    <n v="2"/>
    <n v="24"/>
    <n v="0"/>
    <n v="48"/>
    <n v="27.36"/>
    <n v="20.64"/>
  </r>
  <r>
    <s v="ORD-1082"/>
    <x v="65"/>
    <x v="1"/>
    <s v="Water Bottle"/>
    <s v="Lifestyle"/>
    <s v="Fatima"/>
    <n v="9"/>
    <n v="35"/>
    <n v="0"/>
    <n v="315"/>
    <n v="195.3"/>
    <n v="119.7"/>
  </r>
  <r>
    <s v="ORD-1083"/>
    <x v="66"/>
    <x v="2"/>
    <s v="Laptop Stand"/>
    <s v="Office"/>
    <s v="George"/>
    <n v="7"/>
    <n v="46"/>
    <n v="0"/>
    <n v="322"/>
    <n v="215.74"/>
    <n v="106.26"/>
  </r>
  <r>
    <s v="ORD-1084"/>
    <x v="67"/>
    <x v="3"/>
    <s v="Wireless Mouse"/>
    <s v="Electronics"/>
    <s v="Lina"/>
    <n v="5"/>
    <n v="57"/>
    <n v="0"/>
    <n v="285"/>
    <n v="148.19999999999999"/>
    <n v="136.80000000000001"/>
  </r>
  <r>
    <s v="ORD-1085"/>
    <x v="68"/>
    <x v="0"/>
    <s v="Desk Lamp"/>
    <s v="Office"/>
    <s v="Omar"/>
    <n v="3"/>
    <n v="13"/>
    <n v="0"/>
    <n v="39"/>
    <n v="22.23"/>
    <n v="16.77"/>
  </r>
  <r>
    <s v="ORD-1086"/>
    <x v="69"/>
    <x v="1"/>
    <s v="USB-C Hub"/>
    <s v="Electronics"/>
    <s v="Aisha"/>
    <n v="1"/>
    <n v="24"/>
    <n v="0.1"/>
    <n v="21.6"/>
    <n v="13.39"/>
    <n v="8.2100000000000009"/>
  </r>
  <r>
    <s v="ORD-1087"/>
    <x v="70"/>
    <x v="2"/>
    <s v="Notebook Set"/>
    <s v="Stationery"/>
    <s v="Daniel"/>
    <n v="8"/>
    <n v="35"/>
    <n v="0"/>
    <n v="280"/>
    <n v="187.6"/>
    <n v="92.4"/>
  </r>
  <r>
    <s v="ORD-1088"/>
    <x v="71"/>
    <x v="3"/>
    <s v="Water Bottle"/>
    <s v="Lifestyle"/>
    <s v="Fatima"/>
    <n v="6"/>
    <n v="46"/>
    <n v="0"/>
    <n v="276"/>
    <n v="143.52000000000001"/>
    <n v="132.47999999999999"/>
  </r>
  <r>
    <s v="ORD-1089"/>
    <x v="72"/>
    <x v="0"/>
    <s v="Laptop Stand"/>
    <s v="Office"/>
    <s v="George"/>
    <n v="4"/>
    <n v="57"/>
    <n v="0"/>
    <n v="228"/>
    <n v="129.96"/>
    <n v="98.04"/>
  </r>
  <r>
    <s v="ORD-1090"/>
    <x v="73"/>
    <x v="1"/>
    <s v="Wireless Mouse"/>
    <s v="Electronics"/>
    <s v="Lina"/>
    <n v="2"/>
    <n v="13"/>
    <n v="0.05"/>
    <n v="24.7"/>
    <n v="15.31"/>
    <n v="9.39"/>
  </r>
  <r>
    <s v="ORD-1091"/>
    <x v="74"/>
    <x v="2"/>
    <s v="Desk Lamp"/>
    <s v="Office"/>
    <s v="Omar"/>
    <n v="9"/>
    <n v="24"/>
    <n v="0"/>
    <n v="216"/>
    <n v="144.72"/>
    <n v="71.28"/>
  </r>
  <r>
    <s v="ORD-1092"/>
    <x v="75"/>
    <x v="3"/>
    <s v="USB-C Hub"/>
    <s v="Electronics"/>
    <s v="Aisha"/>
    <n v="7"/>
    <n v="35"/>
    <n v="0.1"/>
    <n v="220.5"/>
    <n v="114.66"/>
    <n v="105.84"/>
  </r>
  <r>
    <s v="ORD-1093"/>
    <x v="76"/>
    <x v="0"/>
    <s v="Notebook Set"/>
    <s v="Stationery"/>
    <s v="Daniel"/>
    <n v="5"/>
    <n v="46"/>
    <n v="0"/>
    <n v="230"/>
    <n v="131.1"/>
    <n v="98.9"/>
  </r>
  <r>
    <s v="ORD-1094"/>
    <x v="77"/>
    <x v="1"/>
    <s v="Water Bottle"/>
    <s v="Lifestyle"/>
    <s v="Fatima"/>
    <n v="3"/>
    <n v="57"/>
    <n v="0"/>
    <n v="171"/>
    <n v="106.02"/>
    <n v="64.98"/>
  </r>
  <r>
    <s v="ORD-1095"/>
    <x v="78"/>
    <x v="2"/>
    <s v="Laptop Stand"/>
    <s v="Office"/>
    <s v="George"/>
    <n v="1"/>
    <n v="13"/>
    <n v="0"/>
    <n v="13"/>
    <n v="8.7100000000000009"/>
    <n v="4.29"/>
  </r>
  <r>
    <s v="ORD-1096"/>
    <x v="79"/>
    <x v="3"/>
    <s v="Wireless Mouse"/>
    <s v="Electronics"/>
    <s v="Lina"/>
    <n v="8"/>
    <n v="24"/>
    <n v="0"/>
    <n v="192"/>
    <n v="99.84"/>
    <n v="92.16"/>
  </r>
  <r>
    <s v="ORD-1097"/>
    <x v="80"/>
    <x v="0"/>
    <s v="Desk Lamp"/>
    <s v="Office"/>
    <s v="Omar"/>
    <n v="6"/>
    <n v="35"/>
    <n v="0"/>
    <n v="210"/>
    <n v="119.7"/>
    <n v="90.3"/>
  </r>
  <r>
    <s v="ORD-1098"/>
    <x v="54"/>
    <x v="1"/>
    <s v="USB-C Hub"/>
    <s v="Electronics"/>
    <s v="Aisha"/>
    <n v="4"/>
    <n v="46"/>
    <n v="0.1"/>
    <n v="165.6"/>
    <n v="102.67"/>
    <n v="62.93"/>
  </r>
  <r>
    <s v="ORD-1099"/>
    <x v="55"/>
    <x v="2"/>
    <s v="Notebook Set"/>
    <s v="Stationery"/>
    <s v="Daniel"/>
    <n v="2"/>
    <n v="57"/>
    <n v="0"/>
    <n v="114"/>
    <n v="76.38"/>
    <n v="37.619999999999997"/>
  </r>
  <r>
    <s v="ORD-1100"/>
    <x v="56"/>
    <x v="3"/>
    <s v="Water Bottle"/>
    <s v="Lifestyle"/>
    <s v="Fatima"/>
    <n v="9"/>
    <n v="13"/>
    <n v="0"/>
    <n v="117"/>
    <n v="60.84"/>
    <n v="56.16"/>
  </r>
  <r>
    <s v="ORD-1101"/>
    <x v="57"/>
    <x v="0"/>
    <s v="Laptop Stand"/>
    <s v="Office"/>
    <s v="George"/>
    <n v="7"/>
    <n v="24"/>
    <n v="0.05"/>
    <n v="159.6"/>
    <n v="90.97"/>
    <n v="68.63"/>
  </r>
  <r>
    <s v="ORD-1102"/>
    <x v="58"/>
    <x v="1"/>
    <s v="Wireless Mouse"/>
    <s v="Electronics"/>
    <s v="Lina"/>
    <n v="5"/>
    <n v="35"/>
    <n v="0"/>
    <n v="175"/>
    <n v="108.5"/>
    <n v="66.5"/>
  </r>
  <r>
    <s v="ORD-1103"/>
    <x v="59"/>
    <x v="2"/>
    <s v="Desk Lamp"/>
    <s v="Office"/>
    <s v="Omar"/>
    <n v="3"/>
    <n v="46"/>
    <n v="0"/>
    <n v="138"/>
    <n v="92.46"/>
    <n v="45.54"/>
  </r>
  <r>
    <s v="ORD-1104"/>
    <x v="60"/>
    <x v="3"/>
    <s v="USB-C Hub"/>
    <s v="Electronics"/>
    <s v="Aisha"/>
    <n v="1"/>
    <n v="57"/>
    <n v="0.1"/>
    <n v="51.3"/>
    <n v="26.68"/>
    <n v="24.62"/>
  </r>
  <r>
    <s v="ORD-1105"/>
    <x v="61"/>
    <x v="0"/>
    <s v="Notebook Set"/>
    <s v="Stationery"/>
    <s v="Daniel"/>
    <n v="8"/>
    <n v="13"/>
    <n v="0"/>
    <n v="104"/>
    <n v="59.28"/>
    <n v="44.72"/>
  </r>
  <r>
    <s v="ORD-1106"/>
    <x v="81"/>
    <x v="1"/>
    <s v="Desk Lamp"/>
    <s v="Office"/>
    <s v="Lina"/>
    <n v="5"/>
    <n v="28"/>
    <n v="0"/>
    <n v="140"/>
    <n v="72.8"/>
    <n v="67.2"/>
  </r>
  <r>
    <s v="ORD-1107"/>
    <x v="82"/>
    <x v="2"/>
    <s v="USB-C Hub"/>
    <s v="Electronics"/>
    <s v="Omar"/>
    <n v="3"/>
    <n v="39"/>
    <n v="0"/>
    <n v="117"/>
    <n v="66.69"/>
    <n v="50.31"/>
  </r>
  <r>
    <s v="ORD-1108"/>
    <x v="83"/>
    <x v="3"/>
    <s v="Notebook Set"/>
    <s v="Stationery"/>
    <s v="Aisha"/>
    <n v="1"/>
    <n v="50"/>
    <n v="0.1"/>
    <n v="45"/>
    <n v="27.9"/>
    <n v="17.100000000000001"/>
  </r>
  <r>
    <s v="ORD-1109"/>
    <x v="84"/>
    <x v="0"/>
    <s v="Water Bottle"/>
    <s v="Lifestyle"/>
    <s v="Daniel"/>
    <n v="8"/>
    <n v="61"/>
    <n v="0"/>
    <n v="488"/>
    <n v="326.95999999999998"/>
    <n v="161.04"/>
  </r>
  <r>
    <s v="ORD-1110"/>
    <x v="85"/>
    <x v="1"/>
    <s v="Laptop Stand"/>
    <s v="Office"/>
    <s v="Fatima"/>
    <n v="6"/>
    <n v="17"/>
    <n v="0"/>
    <n v="102"/>
    <n v="53.04"/>
    <n v="48.96"/>
  </r>
  <r>
    <s v="ORD-1111"/>
    <x v="86"/>
    <x v="2"/>
    <s v="Wireless Mouse"/>
    <s v="Electronics"/>
    <s v="George"/>
    <n v="4"/>
    <n v="28"/>
    <n v="0"/>
    <n v="112"/>
    <n v="63.84"/>
    <n v="48.16"/>
  </r>
  <r>
    <s v="ORD-1112"/>
    <x v="87"/>
    <x v="3"/>
    <s v="Desk Lamp"/>
    <s v="Office"/>
    <s v="Lina"/>
    <n v="2"/>
    <n v="39"/>
    <n v="0"/>
    <n v="78"/>
    <n v="48.36"/>
    <n v="29.64"/>
  </r>
  <r>
    <s v="ORD-1113"/>
    <x v="88"/>
    <x v="0"/>
    <s v="USB-C Hub"/>
    <s v="Electronics"/>
    <s v="Omar"/>
    <n v="9"/>
    <n v="50"/>
    <n v="0.05"/>
    <n v="427.5"/>
    <n v="286.43"/>
    <n v="141.07"/>
  </r>
  <r>
    <s v="ORD-1114"/>
    <x v="89"/>
    <x v="1"/>
    <s v="Notebook Set"/>
    <s v="Stationery"/>
    <s v="Aisha"/>
    <n v="7"/>
    <n v="61"/>
    <n v="0.1"/>
    <n v="384.3"/>
    <n v="199.84"/>
    <n v="184.46"/>
  </r>
  <r>
    <s v="ORD-1115"/>
    <x v="90"/>
    <x v="2"/>
    <s v="Water Bottle"/>
    <s v="Lifestyle"/>
    <s v="Daniel"/>
    <n v="5"/>
    <n v="17"/>
    <n v="0"/>
    <n v="85"/>
    <n v="48.45"/>
    <n v="36.549999999999997"/>
  </r>
  <r>
    <s v="ORD-1116"/>
    <x v="91"/>
    <x v="3"/>
    <s v="Laptop Stand"/>
    <s v="Office"/>
    <s v="Fatima"/>
    <n v="3"/>
    <n v="28"/>
    <n v="0"/>
    <n v="84"/>
    <n v="52.08"/>
    <n v="31.92"/>
  </r>
  <r>
    <s v="ORD-1117"/>
    <x v="92"/>
    <x v="0"/>
    <s v="Wireless Mouse"/>
    <s v="Electronics"/>
    <s v="George"/>
    <n v="1"/>
    <n v="39"/>
    <n v="0"/>
    <n v="39"/>
    <n v="26.13"/>
    <n v="12.87"/>
  </r>
  <r>
    <s v="ORD-1118"/>
    <x v="93"/>
    <x v="1"/>
    <s v="Desk Lamp"/>
    <s v="Office"/>
    <s v="Lina"/>
    <n v="8"/>
    <n v="50"/>
    <n v="0"/>
    <n v="400"/>
    <n v="208"/>
    <n v="192"/>
  </r>
  <r>
    <s v="ORD-1119"/>
    <x v="94"/>
    <x v="2"/>
    <s v="USB-C Hub"/>
    <s v="Electronics"/>
    <s v="Omar"/>
    <n v="6"/>
    <n v="61"/>
    <n v="0"/>
    <n v="366"/>
    <n v="208.62"/>
    <n v="157.38"/>
  </r>
  <r>
    <s v="ORD-1120"/>
    <x v="95"/>
    <x v="3"/>
    <s v="Notebook Set"/>
    <s v="Stationery"/>
    <s v="Aisha"/>
    <n v="4"/>
    <n v="17"/>
    <n v="0.1"/>
    <n v="61.2"/>
    <n v="37.94"/>
    <n v="23.26"/>
  </r>
  <r>
    <s v="ORD-1121"/>
    <x v="96"/>
    <x v="0"/>
    <s v="Water Bottle"/>
    <s v="Lifestyle"/>
    <s v="Daniel"/>
    <n v="2"/>
    <n v="28"/>
    <n v="0"/>
    <n v="56"/>
    <n v="37.520000000000003"/>
    <n v="18.48"/>
  </r>
  <r>
    <s v="ORD-1122"/>
    <x v="97"/>
    <x v="1"/>
    <s v="Laptop Stand"/>
    <s v="Office"/>
    <s v="Fatima"/>
    <n v="9"/>
    <n v="39"/>
    <n v="0"/>
    <n v="351"/>
    <n v="182.52"/>
    <n v="168.48"/>
  </r>
  <r>
    <s v="ORD-1123"/>
    <x v="98"/>
    <x v="2"/>
    <s v="Wireless Mouse"/>
    <s v="Electronics"/>
    <s v="George"/>
    <n v="7"/>
    <n v="50"/>
    <n v="0"/>
    <n v="350"/>
    <n v="199.5"/>
    <n v="150.5"/>
  </r>
  <r>
    <s v="ORD-1124"/>
    <x v="99"/>
    <x v="3"/>
    <s v="Desk Lamp"/>
    <s v="Office"/>
    <s v="Lina"/>
    <n v="5"/>
    <n v="61"/>
    <n v="0.05"/>
    <n v="289.75"/>
    <n v="179.65"/>
    <n v="110.1"/>
  </r>
  <r>
    <s v="ORD-1125"/>
    <x v="100"/>
    <x v="0"/>
    <s v="USB-C Hub"/>
    <s v="Electronics"/>
    <s v="Omar"/>
    <n v="3"/>
    <n v="17"/>
    <n v="0"/>
    <n v="51"/>
    <n v="34.17"/>
    <n v="16.829999999999998"/>
  </r>
  <r>
    <s v="ORD-1126"/>
    <x v="101"/>
    <x v="1"/>
    <s v="Notebook Set"/>
    <s v="Stationery"/>
    <s v="Aisha"/>
    <n v="1"/>
    <n v="28"/>
    <n v="0.1"/>
    <n v="25.2"/>
    <n v="13.1"/>
    <n v="12.1"/>
  </r>
  <r>
    <s v="ORD-1127"/>
    <x v="102"/>
    <x v="2"/>
    <s v="Water Bottle"/>
    <s v="Lifestyle"/>
    <s v="Daniel"/>
    <n v="8"/>
    <n v="39"/>
    <n v="0"/>
    <n v="312"/>
    <n v="177.84"/>
    <n v="134.16"/>
  </r>
  <r>
    <s v="ORD-1128"/>
    <x v="103"/>
    <x v="3"/>
    <s v="Laptop Stand"/>
    <s v="Office"/>
    <s v="Fatima"/>
    <n v="6"/>
    <n v="50"/>
    <n v="0"/>
    <n v="300"/>
    <n v="186"/>
    <n v="114"/>
  </r>
  <r>
    <s v="ORD-1129"/>
    <x v="104"/>
    <x v="0"/>
    <s v="Wireless Mouse"/>
    <s v="Electronics"/>
    <s v="George"/>
    <n v="4"/>
    <n v="61"/>
    <n v="0"/>
    <n v="244"/>
    <n v="163.47999999999999"/>
    <n v="80.52"/>
  </r>
  <r>
    <s v="ORD-1130"/>
    <x v="105"/>
    <x v="1"/>
    <s v="Desk Lamp"/>
    <s v="Office"/>
    <s v="Lina"/>
    <n v="2"/>
    <n v="17"/>
    <n v="0"/>
    <n v="34"/>
    <n v="17.68"/>
    <n v="16.32"/>
  </r>
  <r>
    <s v="ORD-1131"/>
    <x v="106"/>
    <x v="2"/>
    <s v="USB-C Hub"/>
    <s v="Electronics"/>
    <s v="Omar"/>
    <n v="9"/>
    <n v="28"/>
    <n v="0"/>
    <n v="252"/>
    <n v="143.63999999999999"/>
    <n v="108.36"/>
  </r>
  <r>
    <s v="ORD-1132"/>
    <x v="107"/>
    <x v="3"/>
    <s v="Notebook Set"/>
    <s v="Stationery"/>
    <s v="Aisha"/>
    <n v="7"/>
    <n v="39"/>
    <n v="0.1"/>
    <n v="245.7"/>
    <n v="152.33000000000001"/>
    <n v="93.37"/>
  </r>
  <r>
    <s v="ORD-1133"/>
    <x v="81"/>
    <x v="0"/>
    <s v="Water Bottle"/>
    <s v="Lifestyle"/>
    <s v="Daniel"/>
    <n v="5"/>
    <n v="50"/>
    <n v="0"/>
    <n v="250"/>
    <n v="167.5"/>
    <n v="82.5"/>
  </r>
  <r>
    <s v="ORD-1134"/>
    <x v="82"/>
    <x v="1"/>
    <s v="Laptop Stand"/>
    <s v="Office"/>
    <s v="Fatima"/>
    <n v="3"/>
    <n v="61"/>
    <n v="0"/>
    <n v="183"/>
    <n v="95.16"/>
    <n v="87.84"/>
  </r>
  <r>
    <s v="ORD-1135"/>
    <x v="83"/>
    <x v="2"/>
    <s v="Wireless Mouse"/>
    <s v="Electronics"/>
    <s v="George"/>
    <n v="1"/>
    <n v="17"/>
    <n v="0.05"/>
    <n v="16.149999999999999"/>
    <n v="9.2100000000000009"/>
    <n v="6.94"/>
  </r>
  <r>
    <s v="ORD-1136"/>
    <x v="84"/>
    <x v="3"/>
    <s v="Desk Lamp"/>
    <s v="Office"/>
    <s v="Lina"/>
    <n v="8"/>
    <n v="28"/>
    <n v="0"/>
    <n v="224"/>
    <n v="138.88"/>
    <n v="85.12"/>
  </r>
  <r>
    <s v="ORD-1137"/>
    <x v="85"/>
    <x v="0"/>
    <s v="USB-C Hub"/>
    <s v="Electronics"/>
    <s v="Omar"/>
    <n v="6"/>
    <n v="39"/>
    <n v="0"/>
    <n v="234"/>
    <n v="156.78"/>
    <n v="77.22"/>
  </r>
  <r>
    <s v="ORD-1138"/>
    <x v="86"/>
    <x v="1"/>
    <s v="Notebook Set"/>
    <s v="Stationery"/>
    <s v="Aisha"/>
    <n v="4"/>
    <n v="50"/>
    <n v="0.1"/>
    <n v="180"/>
    <n v="93.6"/>
    <n v="86.4"/>
  </r>
  <r>
    <s v="ORD-1139"/>
    <x v="87"/>
    <x v="2"/>
    <s v="Water Bottle"/>
    <s v="Lifestyle"/>
    <s v="Daniel"/>
    <n v="2"/>
    <n v="61"/>
    <n v="0"/>
    <n v="122"/>
    <n v="69.540000000000006"/>
    <n v="52.46"/>
  </r>
  <r>
    <s v="ORD-1140"/>
    <x v="88"/>
    <x v="3"/>
    <s v="Laptop Stand"/>
    <s v="Office"/>
    <s v="Fatima"/>
    <n v="9"/>
    <n v="17"/>
    <n v="0"/>
    <n v="153"/>
    <n v="94.86"/>
    <n v="58.14"/>
  </r>
  <r>
    <s v="ORD-1141"/>
    <x v="108"/>
    <x v="0"/>
    <s v="Notebook Set"/>
    <s v="Stationery"/>
    <s v="Omar"/>
    <n v="6"/>
    <n v="32"/>
    <n v="0"/>
    <n v="192"/>
    <n v="109.44"/>
    <n v="82.56"/>
  </r>
  <r>
    <s v="ORD-1142"/>
    <x v="109"/>
    <x v="1"/>
    <s v="Water Bottle"/>
    <s v="Lifestyle"/>
    <s v="Aisha"/>
    <n v="4"/>
    <n v="43"/>
    <n v="0.1"/>
    <n v="154.80000000000001"/>
    <n v="95.98"/>
    <n v="58.82"/>
  </r>
  <r>
    <s v="ORD-1143"/>
    <x v="110"/>
    <x v="2"/>
    <s v="Laptop Stand"/>
    <s v="Office"/>
    <s v="Daniel"/>
    <n v="2"/>
    <n v="54"/>
    <n v="0"/>
    <n v="108"/>
    <n v="72.36"/>
    <n v="35.64"/>
  </r>
  <r>
    <s v="ORD-1144"/>
    <x v="111"/>
    <x v="3"/>
    <s v="Wireless Mouse"/>
    <s v="Electronics"/>
    <s v="Fatima"/>
    <n v="9"/>
    <n v="65"/>
    <n v="0"/>
    <n v="585"/>
    <n v="304.2"/>
    <n v="280.8"/>
  </r>
  <r>
    <s v="ORD-1145"/>
    <x v="112"/>
    <x v="0"/>
    <s v="Desk Lamp"/>
    <s v="Office"/>
    <s v="George"/>
    <n v="7"/>
    <n v="21"/>
    <n v="0"/>
    <n v="147"/>
    <n v="83.79"/>
    <n v="63.21"/>
  </r>
  <r>
    <s v="ORD-1146"/>
    <x v="113"/>
    <x v="1"/>
    <s v="USB-C Hub"/>
    <s v="Electronics"/>
    <s v="Lina"/>
    <n v="5"/>
    <n v="32"/>
    <n v="0"/>
    <n v="160"/>
    <n v="99.2"/>
    <n v="60.8"/>
  </r>
  <r>
    <s v="ORD-1147"/>
    <x v="114"/>
    <x v="2"/>
    <s v="Notebook Set"/>
    <s v="Stationery"/>
    <s v="Omar"/>
    <n v="3"/>
    <n v="43"/>
    <n v="0.05"/>
    <n v="122.55"/>
    <n v="82.11"/>
    <n v="40.44"/>
  </r>
  <r>
    <s v="ORD-1148"/>
    <x v="115"/>
    <x v="3"/>
    <s v="Water Bottle"/>
    <s v="Lifestyle"/>
    <s v="Aisha"/>
    <n v="1"/>
    <n v="54"/>
    <n v="0.1"/>
    <n v="48.6"/>
    <n v="25.27"/>
    <n v="23.33"/>
  </r>
  <r>
    <s v="ORD-1149"/>
    <x v="116"/>
    <x v="0"/>
    <s v="Laptop Stand"/>
    <s v="Office"/>
    <s v="Daniel"/>
    <n v="8"/>
    <n v="65"/>
    <n v="0"/>
    <n v="520"/>
    <n v="296.39999999999998"/>
    <n v="223.6"/>
  </r>
  <r>
    <s v="ORD-1150"/>
    <x v="117"/>
    <x v="1"/>
    <s v="Wireless Mouse"/>
    <s v="Electronics"/>
    <s v="Fatima"/>
    <n v="6"/>
    <n v="21"/>
    <n v="0"/>
    <n v="126"/>
    <n v="78.12"/>
    <n v="47.88"/>
  </r>
  <r>
    <s v="ORD-1151"/>
    <x v="118"/>
    <x v="2"/>
    <s v="Desk Lamp"/>
    <s v="Office"/>
    <s v="George"/>
    <n v="4"/>
    <n v="32"/>
    <n v="0"/>
    <n v="128"/>
    <n v="85.76"/>
    <n v="42.24"/>
  </r>
  <r>
    <s v="ORD-1152"/>
    <x v="119"/>
    <x v="3"/>
    <s v="USB-C Hub"/>
    <s v="Electronics"/>
    <s v="Lina"/>
    <n v="2"/>
    <n v="43"/>
    <n v="0"/>
    <n v="86"/>
    <n v="44.72"/>
    <n v="41.28"/>
  </r>
  <r>
    <s v="ORD-1153"/>
    <x v="120"/>
    <x v="0"/>
    <s v="Notebook Set"/>
    <s v="Stationery"/>
    <s v="Omar"/>
    <n v="9"/>
    <n v="54"/>
    <n v="0"/>
    <n v="486"/>
    <n v="277.02"/>
    <n v="208.98"/>
  </r>
  <r>
    <s v="ORD-1154"/>
    <x v="121"/>
    <x v="1"/>
    <s v="Water Bottle"/>
    <s v="Lifestyle"/>
    <s v="Aisha"/>
    <n v="7"/>
    <n v="65"/>
    <n v="0.1"/>
    <n v="409.5"/>
    <n v="253.89"/>
    <n v="155.61000000000001"/>
  </r>
  <r>
    <s v="ORD-1155"/>
    <x v="122"/>
    <x v="2"/>
    <s v="Laptop Stand"/>
    <s v="Office"/>
    <s v="Daniel"/>
    <n v="5"/>
    <n v="21"/>
    <n v="0"/>
    <n v="105"/>
    <n v="70.349999999999994"/>
    <n v="34.65"/>
  </r>
  <r>
    <s v="ORD-1156"/>
    <x v="123"/>
    <x v="3"/>
    <s v="Wireless Mouse"/>
    <s v="Electronics"/>
    <s v="Fatima"/>
    <n v="3"/>
    <n v="32"/>
    <n v="0"/>
    <n v="96"/>
    <n v="49.92"/>
    <n v="46.08"/>
  </r>
  <r>
    <s v="ORD-1157"/>
    <x v="124"/>
    <x v="0"/>
    <s v="Desk Lamp"/>
    <s v="Office"/>
    <s v="George"/>
    <n v="1"/>
    <n v="43"/>
    <n v="0"/>
    <n v="43"/>
    <n v="24.51"/>
    <n v="18.489999999999998"/>
  </r>
  <r>
    <s v="ORD-1158"/>
    <x v="125"/>
    <x v="1"/>
    <s v="USB-C Hub"/>
    <s v="Electronics"/>
    <s v="Lina"/>
    <n v="8"/>
    <n v="54"/>
    <n v="0.05"/>
    <n v="410.4"/>
    <n v="254.45"/>
    <n v="155.94999999999999"/>
  </r>
  <r>
    <s v="ORD-1159"/>
    <x v="126"/>
    <x v="2"/>
    <s v="Notebook Set"/>
    <s v="Stationery"/>
    <s v="Omar"/>
    <n v="6"/>
    <n v="65"/>
    <n v="0"/>
    <n v="390"/>
    <n v="261.3"/>
    <n v="128.69999999999999"/>
  </r>
  <r>
    <s v="ORD-1160"/>
    <x v="127"/>
    <x v="3"/>
    <s v="Water Bottle"/>
    <s v="Lifestyle"/>
    <s v="Aisha"/>
    <n v="4"/>
    <n v="21"/>
    <n v="0.1"/>
    <n v="75.599999999999994"/>
    <n v="39.31"/>
    <n v="36.29"/>
  </r>
  <r>
    <s v="ORD-1161"/>
    <x v="128"/>
    <x v="0"/>
    <s v="Laptop Stand"/>
    <s v="Office"/>
    <s v="Daniel"/>
    <n v="2"/>
    <n v="32"/>
    <n v="0"/>
    <n v="64"/>
    <n v="36.479999999999997"/>
    <n v="27.52"/>
  </r>
  <r>
    <s v="ORD-1162"/>
    <x v="129"/>
    <x v="1"/>
    <s v="Wireless Mouse"/>
    <s v="Electronics"/>
    <s v="Fatima"/>
    <n v="9"/>
    <n v="43"/>
    <n v="0"/>
    <n v="387"/>
    <n v="239.94"/>
    <n v="147.06"/>
  </r>
  <r>
    <s v="ORD-1163"/>
    <x v="130"/>
    <x v="2"/>
    <s v="Desk Lamp"/>
    <s v="Office"/>
    <s v="George"/>
    <n v="7"/>
    <n v="54"/>
    <n v="0"/>
    <n v="378"/>
    <n v="253.26"/>
    <n v="124.74"/>
  </r>
  <r>
    <s v="ORD-1164"/>
    <x v="131"/>
    <x v="3"/>
    <s v="USB-C Hub"/>
    <s v="Electronics"/>
    <s v="Lina"/>
    <n v="5"/>
    <n v="65"/>
    <n v="0"/>
    <n v="325"/>
    <n v="169"/>
    <n v="156"/>
  </r>
  <r>
    <s v="ORD-1165"/>
    <x v="132"/>
    <x v="0"/>
    <s v="Notebook Set"/>
    <s v="Stationery"/>
    <s v="Omar"/>
    <n v="3"/>
    <n v="21"/>
    <n v="0"/>
    <n v="63"/>
    <n v="35.909999999999997"/>
    <n v="27.09"/>
  </r>
  <r>
    <s v="ORD-1166"/>
    <x v="133"/>
    <x v="1"/>
    <s v="Water Bottle"/>
    <s v="Lifestyle"/>
    <s v="Aisha"/>
    <n v="1"/>
    <n v="32"/>
    <n v="0.1"/>
    <n v="28.8"/>
    <n v="17.86"/>
    <n v="10.94"/>
  </r>
  <r>
    <s v="ORD-1167"/>
    <x v="134"/>
    <x v="2"/>
    <s v="Laptop Stand"/>
    <s v="Office"/>
    <s v="Daniel"/>
    <n v="8"/>
    <n v="43"/>
    <n v="0"/>
    <n v="344"/>
    <n v="230.48"/>
    <n v="113.52"/>
  </r>
  <r>
    <s v="ORD-1168"/>
    <x v="108"/>
    <x v="3"/>
    <s v="Wireless Mouse"/>
    <s v="Electronics"/>
    <s v="Fatima"/>
    <n v="6"/>
    <n v="54"/>
    <n v="0"/>
    <n v="324"/>
    <n v="168.48"/>
    <n v="155.52000000000001"/>
  </r>
  <r>
    <s v="ORD-1169"/>
    <x v="109"/>
    <x v="0"/>
    <s v="Desk Lamp"/>
    <s v="Office"/>
    <s v="George"/>
    <n v="4"/>
    <n v="65"/>
    <n v="0.05"/>
    <n v="247"/>
    <n v="140.79"/>
    <n v="106.21"/>
  </r>
  <r>
    <s v="ORD-1170"/>
    <x v="110"/>
    <x v="1"/>
    <s v="USB-C Hub"/>
    <s v="Electronics"/>
    <s v="Lina"/>
    <n v="2"/>
    <n v="21"/>
    <n v="0"/>
    <n v="42"/>
    <n v="26.04"/>
    <n v="15.96"/>
  </r>
  <r>
    <s v="ORD-1171"/>
    <x v="111"/>
    <x v="2"/>
    <s v="Notebook Set"/>
    <s v="Stationery"/>
    <s v="Omar"/>
    <n v="9"/>
    <n v="32"/>
    <n v="0"/>
    <n v="288"/>
    <n v="192.96"/>
    <n v="95.04"/>
  </r>
  <r>
    <s v="ORD-1172"/>
    <x v="112"/>
    <x v="3"/>
    <s v="Water Bottle"/>
    <s v="Lifestyle"/>
    <s v="Aisha"/>
    <n v="7"/>
    <n v="43"/>
    <n v="0.1"/>
    <n v="270.89999999999998"/>
    <n v="140.87"/>
    <n v="130.03"/>
  </r>
  <r>
    <s v="ORD-1173"/>
    <x v="113"/>
    <x v="0"/>
    <s v="Laptop Stand"/>
    <s v="Office"/>
    <s v="Daniel"/>
    <n v="5"/>
    <n v="54"/>
    <n v="0"/>
    <n v="270"/>
    <n v="153.9"/>
    <n v="116.1"/>
  </r>
  <r>
    <s v="ORD-1174"/>
    <x v="114"/>
    <x v="1"/>
    <s v="Wireless Mouse"/>
    <s v="Electronics"/>
    <s v="Fatima"/>
    <n v="3"/>
    <n v="65"/>
    <n v="0"/>
    <n v="195"/>
    <n v="120.9"/>
    <n v="74.099999999999994"/>
  </r>
  <r>
    <s v="ORD-1175"/>
    <x v="115"/>
    <x v="2"/>
    <s v="Desk Lamp"/>
    <s v="Office"/>
    <s v="George"/>
    <n v="1"/>
    <n v="21"/>
    <n v="0"/>
    <n v="21"/>
    <n v="14.07"/>
    <n v="6.93"/>
  </r>
  <r>
    <s v="ORD-1176"/>
    <x v="135"/>
    <x v="3"/>
    <s v="Laptop Stand"/>
    <s v="Office"/>
    <s v="Aisha"/>
    <n v="7"/>
    <n v="36"/>
    <n v="0.1"/>
    <n v="226.8"/>
    <n v="140.62"/>
    <n v="86.18"/>
  </r>
  <r>
    <s v="ORD-1177"/>
    <x v="136"/>
    <x v="0"/>
    <s v="Wireless Mouse"/>
    <s v="Electronics"/>
    <s v="Daniel"/>
    <n v="5"/>
    <n v="47"/>
    <n v="0"/>
    <n v="235"/>
    <n v="157.44999999999999"/>
    <n v="77.55"/>
  </r>
  <r>
    <s v="ORD-1178"/>
    <x v="137"/>
    <x v="1"/>
    <s v="Desk Lamp"/>
    <s v="Office"/>
    <s v="Fatima"/>
    <n v="3"/>
    <n v="58"/>
    <n v="0"/>
    <n v="174"/>
    <n v="90.48"/>
    <n v="83.52"/>
  </r>
  <r>
    <s v="ORD-1179"/>
    <x v="138"/>
    <x v="2"/>
    <s v="USB-C Hub"/>
    <s v="Electronics"/>
    <s v="George"/>
    <n v="1"/>
    <n v="14"/>
    <n v="0"/>
    <n v="14"/>
    <n v="7.98"/>
    <n v="6.02"/>
  </r>
  <r>
    <s v="ORD-1180"/>
    <x v="139"/>
    <x v="3"/>
    <s v="Notebook Set"/>
    <s v="Stationery"/>
    <s v="Lina"/>
    <n v="8"/>
    <n v="25"/>
    <n v="0"/>
    <n v="200"/>
    <n v="124"/>
    <n v="76"/>
  </r>
  <r>
    <s v="ORD-1181"/>
    <x v="140"/>
    <x v="0"/>
    <s v="Water Bottle"/>
    <s v="Lifestyle"/>
    <s v="Omar"/>
    <n v="6"/>
    <n v="36"/>
    <n v="0.05"/>
    <n v="205.2"/>
    <n v="137.47999999999999"/>
    <n v="67.72"/>
  </r>
  <r>
    <s v="ORD-1182"/>
    <x v="141"/>
    <x v="1"/>
    <s v="Laptop Stand"/>
    <s v="Office"/>
    <s v="Aisha"/>
    <n v="4"/>
    <n v="47"/>
    <n v="0.1"/>
    <n v="169.2"/>
    <n v="87.98"/>
    <n v="81.22"/>
  </r>
  <r>
    <s v="ORD-1183"/>
    <x v="142"/>
    <x v="2"/>
    <s v="Wireless Mouse"/>
    <s v="Electronics"/>
    <s v="Daniel"/>
    <n v="2"/>
    <n v="58"/>
    <n v="0"/>
    <n v="116"/>
    <n v="66.12"/>
    <n v="49.88"/>
  </r>
  <r>
    <s v="ORD-1184"/>
    <x v="143"/>
    <x v="3"/>
    <s v="Desk Lamp"/>
    <s v="Office"/>
    <s v="Fatima"/>
    <n v="9"/>
    <n v="14"/>
    <n v="0"/>
    <n v="126"/>
    <n v="78.12"/>
    <n v="47.88"/>
  </r>
  <r>
    <s v="ORD-1185"/>
    <x v="144"/>
    <x v="0"/>
    <s v="USB-C Hub"/>
    <s v="Electronics"/>
    <s v="George"/>
    <n v="7"/>
    <n v="25"/>
    <n v="0"/>
    <n v="175"/>
    <n v="117.25"/>
    <n v="57.75"/>
  </r>
  <r>
    <s v="ORD-1186"/>
    <x v="145"/>
    <x v="1"/>
    <s v="Notebook Set"/>
    <s v="Stationery"/>
    <s v="Lina"/>
    <n v="5"/>
    <n v="36"/>
    <n v="0"/>
    <n v="180"/>
    <n v="93.6"/>
    <n v="86.4"/>
  </r>
  <r>
    <s v="ORD-1187"/>
    <x v="146"/>
    <x v="2"/>
    <s v="Water Bottle"/>
    <s v="Lifestyle"/>
    <s v="Omar"/>
    <n v="3"/>
    <n v="47"/>
    <n v="0"/>
    <n v="141"/>
    <n v="80.37"/>
    <n v="60.63"/>
  </r>
  <r>
    <s v="ORD-1188"/>
    <x v="147"/>
    <x v="3"/>
    <s v="Laptop Stand"/>
    <s v="Office"/>
    <s v="Aisha"/>
    <n v="1"/>
    <n v="58"/>
    <n v="0.1"/>
    <n v="52.2"/>
    <n v="32.36"/>
    <n v="19.84"/>
  </r>
  <r>
    <s v="ORD-1189"/>
    <x v="148"/>
    <x v="0"/>
    <s v="Wireless Mouse"/>
    <s v="Electronics"/>
    <s v="Daniel"/>
    <n v="8"/>
    <n v="14"/>
    <n v="0"/>
    <n v="112"/>
    <n v="75.040000000000006"/>
    <n v="36.96"/>
  </r>
  <r>
    <s v="ORD-1190"/>
    <x v="149"/>
    <x v="1"/>
    <s v="Desk Lamp"/>
    <s v="Office"/>
    <s v="Fatima"/>
    <n v="6"/>
    <n v="25"/>
    <n v="0"/>
    <n v="150"/>
    <n v="78"/>
    <n v="72"/>
  </r>
  <r>
    <s v="ORD-1191"/>
    <x v="150"/>
    <x v="2"/>
    <s v="USB-C Hub"/>
    <s v="Electronics"/>
    <s v="George"/>
    <n v="4"/>
    <n v="36"/>
    <n v="0"/>
    <n v="144"/>
    <n v="82.08"/>
    <n v="61.92"/>
  </r>
  <r>
    <s v="ORD-1192"/>
    <x v="151"/>
    <x v="3"/>
    <s v="Notebook Set"/>
    <s v="Stationery"/>
    <s v="Lina"/>
    <n v="2"/>
    <n v="47"/>
    <n v="0.05"/>
    <n v="89.3"/>
    <n v="55.37"/>
    <n v="33.93"/>
  </r>
  <r>
    <s v="ORD-1193"/>
    <x v="152"/>
    <x v="0"/>
    <s v="Water Bottle"/>
    <s v="Lifestyle"/>
    <s v="Omar"/>
    <n v="9"/>
    <n v="58"/>
    <n v="0"/>
    <n v="522"/>
    <n v="349.74"/>
    <n v="172.26"/>
  </r>
  <r>
    <s v="ORD-1194"/>
    <x v="153"/>
    <x v="1"/>
    <s v="Laptop Stand"/>
    <s v="Office"/>
    <s v="Aisha"/>
    <n v="7"/>
    <n v="14"/>
    <n v="0.1"/>
    <n v="88.2"/>
    <n v="45.86"/>
    <n v="42.34"/>
  </r>
  <r>
    <s v="ORD-1195"/>
    <x v="154"/>
    <x v="2"/>
    <s v="Wireless Mouse"/>
    <s v="Electronics"/>
    <s v="Daniel"/>
    <n v="5"/>
    <n v="25"/>
    <n v="0"/>
    <n v="125"/>
    <n v="71.25"/>
    <n v="53.75"/>
  </r>
  <r>
    <s v="ORD-1196"/>
    <x v="155"/>
    <x v="3"/>
    <s v="Desk Lamp"/>
    <s v="Office"/>
    <s v="Fatima"/>
    <n v="3"/>
    <n v="36"/>
    <n v="0"/>
    <n v="108"/>
    <n v="66.959999999999994"/>
    <n v="41.04"/>
  </r>
  <r>
    <s v="ORD-1197"/>
    <x v="156"/>
    <x v="0"/>
    <s v="USB-C Hub"/>
    <s v="Electronics"/>
    <s v="George"/>
    <n v="1"/>
    <n v="47"/>
    <n v="0"/>
    <n v="47"/>
    <n v="31.49"/>
    <n v="15.51"/>
  </r>
  <r>
    <s v="ORD-1198"/>
    <x v="157"/>
    <x v="1"/>
    <s v="Notebook Set"/>
    <s v="Stationery"/>
    <s v="Lina"/>
    <n v="8"/>
    <n v="58"/>
    <n v="0"/>
    <n v="464"/>
    <n v="241.28"/>
    <n v="222.72"/>
  </r>
  <r>
    <s v="ORD-1199"/>
    <x v="158"/>
    <x v="2"/>
    <s v="Water Bottle"/>
    <s v="Lifestyle"/>
    <s v="Omar"/>
    <n v="6"/>
    <n v="14"/>
    <n v="0"/>
    <n v="84"/>
    <n v="47.88"/>
    <n v="36.119999999999997"/>
  </r>
  <r>
    <s v="ORD-1200"/>
    <x v="159"/>
    <x v="3"/>
    <s v="Laptop Stand"/>
    <s v="Office"/>
    <s v="Aisha"/>
    <n v="4"/>
    <n v="25"/>
    <n v="0.1"/>
    <n v="90"/>
    <n v="55.8"/>
    <n v="34.200000000000003"/>
  </r>
  <r>
    <s v="ORD-1201"/>
    <x v="160"/>
    <x v="0"/>
    <s v="Wireless Mouse"/>
    <s v="Electronics"/>
    <s v="Daniel"/>
    <n v="2"/>
    <n v="36"/>
    <n v="0"/>
    <n v="72"/>
    <n v="48.24"/>
    <n v="23.76"/>
  </r>
  <r>
    <s v="ORD-1202"/>
    <x v="161"/>
    <x v="1"/>
    <s v="Desk Lamp"/>
    <s v="Office"/>
    <s v="Fatima"/>
    <n v="9"/>
    <n v="47"/>
    <n v="0"/>
    <n v="423"/>
    <n v="219.96"/>
    <n v="203.04"/>
  </r>
  <r>
    <s v="ORD-1203"/>
    <x v="135"/>
    <x v="2"/>
    <s v="USB-C Hub"/>
    <s v="Electronics"/>
    <s v="George"/>
    <n v="7"/>
    <n v="58"/>
    <n v="0.05"/>
    <n v="385.7"/>
    <n v="219.85"/>
    <n v="165.85"/>
  </r>
  <r>
    <s v="ORD-1204"/>
    <x v="136"/>
    <x v="3"/>
    <s v="Notebook Set"/>
    <s v="Stationery"/>
    <s v="Lina"/>
    <n v="5"/>
    <n v="14"/>
    <n v="0"/>
    <n v="70"/>
    <n v="43.4"/>
    <n v="26.6"/>
  </r>
  <r>
    <s v="ORD-1205"/>
    <x v="137"/>
    <x v="0"/>
    <s v="Water Bottle"/>
    <s v="Lifestyle"/>
    <s v="Omar"/>
    <n v="3"/>
    <n v="25"/>
    <n v="0"/>
    <n v="75"/>
    <n v="50.25"/>
    <n v="24.75"/>
  </r>
  <r>
    <s v="ORD-1206"/>
    <x v="138"/>
    <x v="1"/>
    <s v="Laptop Stand"/>
    <s v="Office"/>
    <s v="Aisha"/>
    <n v="1"/>
    <n v="36"/>
    <n v="0.1"/>
    <n v="32.4"/>
    <n v="16.850000000000001"/>
    <n v="15.55"/>
  </r>
  <r>
    <s v="ORD-1207"/>
    <x v="139"/>
    <x v="2"/>
    <s v="Wireless Mouse"/>
    <s v="Electronics"/>
    <s v="Daniel"/>
    <n v="8"/>
    <n v="47"/>
    <n v="0"/>
    <n v="376"/>
    <n v="214.32"/>
    <n v="161.68"/>
  </r>
  <r>
    <s v="ORD-1208"/>
    <x v="140"/>
    <x v="3"/>
    <s v="Desk Lamp"/>
    <s v="Office"/>
    <s v="Fatima"/>
    <n v="6"/>
    <n v="58"/>
    <n v="0"/>
    <n v="348"/>
    <n v="215.76"/>
    <n v="132.24"/>
  </r>
  <r>
    <s v="ORD-1209"/>
    <x v="141"/>
    <x v="0"/>
    <s v="USB-C Hub"/>
    <s v="Electronics"/>
    <s v="George"/>
    <n v="4"/>
    <n v="14"/>
    <n v="0"/>
    <n v="56"/>
    <n v="37.520000000000003"/>
    <n v="18.48"/>
  </r>
  <r>
    <s v="ORD-1210"/>
    <x v="142"/>
    <x v="1"/>
    <s v="Notebook Set"/>
    <s v="Stationery"/>
    <s v="Lina"/>
    <n v="2"/>
    <n v="25"/>
    <n v="0"/>
    <n v="50"/>
    <n v="26"/>
    <n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EC71CF-6C4B-4B2B-92A6-1E0299F6E362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4">
    <pivotField showAll="0"/>
    <pivotField numFmtId="164" showAll="0">
      <items count="163">
        <item x="21"/>
        <item x="5"/>
        <item x="16"/>
        <item x="0"/>
        <item x="11"/>
        <item x="22"/>
        <item x="6"/>
        <item x="17"/>
        <item x="1"/>
        <item x="12"/>
        <item x="23"/>
        <item x="7"/>
        <item x="18"/>
        <item x="2"/>
        <item x="13"/>
        <item x="24"/>
        <item x="8"/>
        <item x="19"/>
        <item x="3"/>
        <item x="14"/>
        <item x="25"/>
        <item x="9"/>
        <item x="20"/>
        <item x="4"/>
        <item x="15"/>
        <item x="26"/>
        <item x="10"/>
        <item x="42"/>
        <item x="53"/>
        <item x="37"/>
        <item x="48"/>
        <item x="32"/>
        <item x="43"/>
        <item x="27"/>
        <item x="38"/>
        <item x="49"/>
        <item x="33"/>
        <item x="44"/>
        <item x="28"/>
        <item x="39"/>
        <item x="50"/>
        <item x="34"/>
        <item x="45"/>
        <item x="29"/>
        <item x="40"/>
        <item x="51"/>
        <item x="35"/>
        <item x="46"/>
        <item x="30"/>
        <item x="41"/>
        <item x="52"/>
        <item x="36"/>
        <item x="47"/>
        <item x="31"/>
        <item x="63"/>
        <item x="74"/>
        <item x="58"/>
        <item x="69"/>
        <item x="80"/>
        <item x="64"/>
        <item x="75"/>
        <item x="59"/>
        <item x="70"/>
        <item x="54"/>
        <item x="65"/>
        <item x="76"/>
        <item x="60"/>
        <item x="71"/>
        <item x="55"/>
        <item x="66"/>
        <item x="77"/>
        <item x="61"/>
        <item x="72"/>
        <item x="56"/>
        <item x="67"/>
        <item x="78"/>
        <item x="62"/>
        <item x="73"/>
        <item x="57"/>
        <item x="68"/>
        <item x="79"/>
        <item x="84"/>
        <item x="95"/>
        <item x="106"/>
        <item x="90"/>
        <item x="101"/>
        <item x="85"/>
        <item x="96"/>
        <item x="107"/>
        <item x="91"/>
        <item x="102"/>
        <item x="86"/>
        <item x="97"/>
        <item x="81"/>
        <item x="92"/>
        <item x="103"/>
        <item x="87"/>
        <item x="98"/>
        <item x="82"/>
        <item x="93"/>
        <item x="104"/>
        <item x="88"/>
        <item x="99"/>
        <item x="83"/>
        <item x="94"/>
        <item x="105"/>
        <item x="89"/>
        <item x="100"/>
        <item x="132"/>
        <item x="116"/>
        <item x="127"/>
        <item x="111"/>
        <item x="122"/>
        <item x="133"/>
        <item x="117"/>
        <item x="128"/>
        <item x="112"/>
        <item x="123"/>
        <item x="134"/>
        <item x="118"/>
        <item x="129"/>
        <item x="113"/>
        <item x="124"/>
        <item x="108"/>
        <item x="119"/>
        <item x="130"/>
        <item x="114"/>
        <item x="125"/>
        <item x="109"/>
        <item x="120"/>
        <item x="131"/>
        <item x="115"/>
        <item x="126"/>
        <item x="110"/>
        <item x="121"/>
        <item x="153"/>
        <item x="137"/>
        <item x="148"/>
        <item x="159"/>
        <item x="143"/>
        <item x="154"/>
        <item x="138"/>
        <item x="149"/>
        <item x="160"/>
        <item x="144"/>
        <item x="155"/>
        <item x="139"/>
        <item x="150"/>
        <item x="161"/>
        <item x="145"/>
        <item x="156"/>
        <item x="140"/>
        <item x="151"/>
        <item x="135"/>
        <item x="146"/>
        <item x="157"/>
        <item x="141"/>
        <item x="152"/>
        <item x="136"/>
        <item x="147"/>
        <item x="158"/>
        <item x="142"/>
        <item t="default"/>
      </items>
    </pivotField>
    <pivotField showAll="0"/>
    <pivotField showAll="0"/>
    <pivotField showAll="0"/>
    <pivotField showAll="0"/>
    <pivotField numFmtId="3" showAll="0"/>
    <pivotField numFmtId="165" showAll="0"/>
    <pivotField numFmtId="9" showAll="0"/>
    <pivotField dataField="1" numFmtId="165" showAll="0"/>
    <pivotField numFmtId="165" showAll="0"/>
    <pivotField numFmtId="165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3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9" baseField="0" baseItem="0" numFmtId="16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502A1A-2D70-4C6A-918D-318E989E74C1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4">
    <pivotField showAll="0"/>
    <pivotField numFmtId="164" showAll="0">
      <items count="163">
        <item x="21"/>
        <item x="5"/>
        <item x="16"/>
        <item x="0"/>
        <item x="11"/>
        <item x="22"/>
        <item x="6"/>
        <item x="17"/>
        <item x="1"/>
        <item x="12"/>
        <item x="23"/>
        <item x="7"/>
        <item x="18"/>
        <item x="2"/>
        <item x="13"/>
        <item x="24"/>
        <item x="8"/>
        <item x="19"/>
        <item x="3"/>
        <item x="14"/>
        <item x="25"/>
        <item x="9"/>
        <item x="20"/>
        <item x="4"/>
        <item x="15"/>
        <item x="26"/>
        <item x="10"/>
        <item x="42"/>
        <item x="53"/>
        <item x="37"/>
        <item x="48"/>
        <item x="32"/>
        <item x="43"/>
        <item x="27"/>
        <item x="38"/>
        <item x="49"/>
        <item x="33"/>
        <item x="44"/>
        <item x="28"/>
        <item x="39"/>
        <item x="50"/>
        <item x="34"/>
        <item x="45"/>
        <item x="29"/>
        <item x="40"/>
        <item x="51"/>
        <item x="35"/>
        <item x="46"/>
        <item x="30"/>
        <item x="41"/>
        <item x="52"/>
        <item x="36"/>
        <item x="47"/>
        <item x="31"/>
        <item x="63"/>
        <item x="74"/>
        <item x="58"/>
        <item x="69"/>
        <item x="80"/>
        <item x="64"/>
        <item x="75"/>
        <item x="59"/>
        <item x="70"/>
        <item x="54"/>
        <item x="65"/>
        <item x="76"/>
        <item x="60"/>
        <item x="71"/>
        <item x="55"/>
        <item x="66"/>
        <item x="77"/>
        <item x="61"/>
        <item x="72"/>
        <item x="56"/>
        <item x="67"/>
        <item x="78"/>
        <item x="62"/>
        <item x="73"/>
        <item x="57"/>
        <item x="68"/>
        <item x="79"/>
        <item x="84"/>
        <item x="95"/>
        <item x="106"/>
        <item x="90"/>
        <item x="101"/>
        <item x="85"/>
        <item x="96"/>
        <item x="107"/>
        <item x="91"/>
        <item x="102"/>
        <item x="86"/>
        <item x="97"/>
        <item x="81"/>
        <item x="92"/>
        <item x="103"/>
        <item x="87"/>
        <item x="98"/>
        <item x="82"/>
        <item x="93"/>
        <item x="104"/>
        <item x="88"/>
        <item x="99"/>
        <item x="83"/>
        <item x="94"/>
        <item x="105"/>
        <item x="89"/>
        <item x="100"/>
        <item x="132"/>
        <item x="116"/>
        <item x="127"/>
        <item x="111"/>
        <item x="122"/>
        <item x="133"/>
        <item x="117"/>
        <item x="128"/>
        <item x="112"/>
        <item x="123"/>
        <item x="134"/>
        <item x="118"/>
        <item x="129"/>
        <item x="113"/>
        <item x="124"/>
        <item x="108"/>
        <item x="119"/>
        <item x="130"/>
        <item x="114"/>
        <item x="125"/>
        <item x="109"/>
        <item x="120"/>
        <item x="131"/>
        <item x="115"/>
        <item x="126"/>
        <item x="110"/>
        <item x="121"/>
        <item x="153"/>
        <item x="137"/>
        <item x="148"/>
        <item x="159"/>
        <item x="143"/>
        <item x="154"/>
        <item x="138"/>
        <item x="149"/>
        <item x="160"/>
        <item x="144"/>
        <item x="155"/>
        <item x="139"/>
        <item x="150"/>
        <item x="161"/>
        <item x="145"/>
        <item x="156"/>
        <item x="140"/>
        <item x="151"/>
        <item x="135"/>
        <item x="146"/>
        <item x="157"/>
        <item x="141"/>
        <item x="152"/>
        <item x="136"/>
        <item x="147"/>
        <item x="158"/>
        <item x="142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numFmtId="3" showAll="0"/>
    <pivotField numFmtId="165" showAll="0"/>
    <pivotField numFmtId="9" showAll="0"/>
    <pivotField numFmtId="165" showAll="0"/>
    <pivotField numFmtId="165" showAll="0"/>
    <pivotField dataField="1" numFmtId="165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1" baseField="0" baseItem="0" numFmtId="16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L211" totalsRowShown="0">
  <tableColumns count="12">
    <tableColumn id="1" xr3:uid="{00000000-0010-0000-0000-000001000000}" name="Order ID"/>
    <tableColumn id="2" xr3:uid="{00000000-0010-0000-0000-000002000000}" name="Order Date"/>
    <tableColumn id="3" xr3:uid="{00000000-0010-0000-0000-000003000000}" name="Region"/>
    <tableColumn id="4" xr3:uid="{00000000-0010-0000-0000-000004000000}" name="Product"/>
    <tableColumn id="5" xr3:uid="{00000000-0010-0000-0000-000005000000}" name="Category"/>
    <tableColumn id="6" xr3:uid="{00000000-0010-0000-0000-000006000000}" name="Sales Rep"/>
    <tableColumn id="7" xr3:uid="{00000000-0010-0000-0000-000007000000}" name="Quantity"/>
    <tableColumn id="8" xr3:uid="{00000000-0010-0000-0000-000008000000}" name="Unit Price"/>
    <tableColumn id="9" xr3:uid="{00000000-0010-0000-0000-000009000000}" name="Discount"/>
    <tableColumn id="10" xr3:uid="{00000000-0010-0000-0000-00000A000000}" name="Sales"/>
    <tableColumn id="11" xr3:uid="{00000000-0010-0000-0000-00000B000000}" name="Cost"/>
    <tableColumn id="12" xr3:uid="{00000000-0010-0000-0000-00000C000000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showGridLines="0" tabSelected="1" zoomScaleNormal="100" workbookViewId="0">
      <selection sqref="A1:N1"/>
    </sheetView>
  </sheetViews>
  <sheetFormatPr defaultRowHeight="13.5"/>
  <cols>
    <col min="1" max="14" width="13" customWidth="1"/>
  </cols>
  <sheetData>
    <row r="1" spans="1:14" ht="32" customHeight="1">
      <c r="A1" s="27" t="s">
        <v>268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3" spans="1:14" ht="13.9">
      <c r="A3" s="17" t="s">
        <v>0</v>
      </c>
      <c r="B3" s="18"/>
      <c r="D3" s="17" t="s">
        <v>1</v>
      </c>
      <c r="E3" s="18"/>
      <c r="G3" s="17" t="s">
        <v>2</v>
      </c>
      <c r="H3" s="18"/>
      <c r="J3" s="17" t="s">
        <v>3</v>
      </c>
      <c r="K3" s="18"/>
    </row>
    <row r="4" spans="1:14" ht="13.9">
      <c r="A4" s="20">
        <f>SUM('Sales Data'!$J$2:$J$211)</f>
        <v>39827.599999999991</v>
      </c>
      <c r="B4" s="19"/>
      <c r="D4" s="20">
        <f>SUM('Sales Data'!$L$2:$L$211)</f>
        <v>16114.280000000002</v>
      </c>
      <c r="E4" s="19"/>
      <c r="G4" s="21">
        <f>D4/A4</f>
        <v>0.40460082957547044</v>
      </c>
      <c r="H4" s="19"/>
      <c r="J4" s="22">
        <f>COUNTA('Sales Data'!$A$2:$A$211)</f>
        <v>210</v>
      </c>
      <c r="K4" s="19"/>
    </row>
    <row r="7" spans="1:14" ht="13.9">
      <c r="A7" s="24" t="s">
        <v>4</v>
      </c>
      <c r="B7" s="24" t="s">
        <v>5</v>
      </c>
      <c r="D7" s="24" t="s">
        <v>6</v>
      </c>
      <c r="E7" s="24" t="s">
        <v>7</v>
      </c>
    </row>
    <row r="8" spans="1:14">
      <c r="A8" s="23" t="s">
        <v>8</v>
      </c>
      <c r="B8" s="25">
        <f>SUMIFS('Sales Data'!$J$2:$J$211,'Sales Data'!$B$2:$B$211,"&gt;="&amp;DATE(2026,ROW()-7,1),'Sales Data'!$B$2:$B$211,"&lt;"&amp;DATE(2026,ROW()-6,1))</f>
        <v>6435.5500000000011</v>
      </c>
      <c r="D8" s="23" t="s">
        <v>9</v>
      </c>
      <c r="E8" s="25">
        <f>SUMIF('Sales Data'!$C$2:$C$211,D8,'Sales Data'!$L$2:$L$211)</f>
        <v>4498.4600000000009</v>
      </c>
    </row>
    <row r="9" spans="1:14">
      <c r="A9" s="23" t="s">
        <v>10</v>
      </c>
      <c r="B9" s="25">
        <f>SUMIFS('Sales Data'!$J$2:$J$211,'Sales Data'!$B$2:$B$211,"&gt;="&amp;DATE(2026,ROW()-7,1),'Sales Data'!$B$2:$B$211,"&lt;"&amp;DATE(2026,ROW()-6,1))</f>
        <v>7056</v>
      </c>
      <c r="D9" s="23" t="s">
        <v>11</v>
      </c>
      <c r="E9" s="25">
        <f>SUMIF('Sales Data'!$C$2:$C$211,D9,'Sales Data'!$L$2:$L$211)</f>
        <v>4033.44</v>
      </c>
    </row>
    <row r="10" spans="1:14">
      <c r="A10" s="23" t="s">
        <v>12</v>
      </c>
      <c r="B10" s="25">
        <f>SUMIFS('Sales Data'!$J$2:$J$211,'Sales Data'!$B$2:$B$211,"&gt;="&amp;DATE(2026,ROW()-7,1),'Sales Data'!$B$2:$B$211,"&lt;"&amp;DATE(2026,ROW()-6,1))</f>
        <v>5967.1000000000013</v>
      </c>
      <c r="D10" s="23" t="s">
        <v>13</v>
      </c>
      <c r="E10" s="25">
        <f>SUMIF('Sales Data'!$C$2:$C$211,D10,'Sales Data'!$L$2:$L$211)</f>
        <v>4002.1399999999994</v>
      </c>
    </row>
    <row r="11" spans="1:14">
      <c r="A11" s="23" t="s">
        <v>14</v>
      </c>
      <c r="B11" s="25">
        <f>SUMIFS('Sales Data'!$J$2:$J$211,'Sales Data'!$B$2:$B$211,"&gt;="&amp;DATE(2026,ROW()-7,1),'Sales Data'!$B$2:$B$211,"&lt;"&amp;DATE(2026,ROW()-6,1))</f>
        <v>6801.7999999999993</v>
      </c>
      <c r="D11" s="23" t="s">
        <v>15</v>
      </c>
      <c r="E11" s="25">
        <f>SUMIF('Sales Data'!$C$2:$C$211,D11,'Sales Data'!$L$2:$L$211)</f>
        <v>3580.2399999999993</v>
      </c>
    </row>
    <row r="12" spans="1:14">
      <c r="A12" s="23" t="s">
        <v>16</v>
      </c>
      <c r="B12" s="25">
        <f>SUMIFS('Sales Data'!$J$2:$J$211,'Sales Data'!$B$2:$B$211,"&gt;="&amp;DATE(2026,ROW()-7,1),'Sales Data'!$B$2:$B$211,"&lt;"&amp;DATE(2026,ROW()-6,1))</f>
        <v>7641.1500000000005</v>
      </c>
    </row>
    <row r="13" spans="1:14">
      <c r="A13" s="23" t="s">
        <v>17</v>
      </c>
      <c r="B13" s="25">
        <f>SUMIFS('Sales Data'!$J$2:$J$211,'Sales Data'!$B$2:$B$211,"&gt;="&amp;DATE(2026,ROW()-7,1),'Sales Data'!$B$2:$B$211,"&lt;"&amp;DATE(2026,ROW()-6,1))</f>
        <v>5925.9999999999991</v>
      </c>
    </row>
  </sheetData>
  <mergeCells count="1">
    <mergeCell ref="A1:N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8134F-9B6E-442E-BC5B-47FB679EEA87}">
  <dimension ref="A3:B10"/>
  <sheetViews>
    <sheetView workbookViewId="0">
      <selection activeCell="B6" sqref="B6"/>
    </sheetView>
  </sheetViews>
  <sheetFormatPr defaultRowHeight="13.5"/>
  <cols>
    <col min="1" max="1" width="12.875" bestFit="1" customWidth="1"/>
    <col min="2" max="2" width="12.0625" bestFit="1" customWidth="1"/>
  </cols>
  <sheetData>
    <row r="3" spans="1:2">
      <c r="A3" s="31" t="s">
        <v>258</v>
      </c>
      <c r="B3" t="s">
        <v>260</v>
      </c>
    </row>
    <row r="4" spans="1:2">
      <c r="A4" s="32" t="s">
        <v>261</v>
      </c>
      <c r="B4" s="33">
        <v>6435.5500000000011</v>
      </c>
    </row>
    <row r="5" spans="1:2">
      <c r="A5" s="32" t="s">
        <v>262</v>
      </c>
      <c r="B5" s="33">
        <v>7056</v>
      </c>
    </row>
    <row r="6" spans="1:2">
      <c r="A6" s="32" t="s">
        <v>263</v>
      </c>
      <c r="B6" s="33">
        <v>5967.1000000000013</v>
      </c>
    </row>
    <row r="7" spans="1:2">
      <c r="A7" s="32" t="s">
        <v>264</v>
      </c>
      <c r="B7" s="33">
        <v>6801.7999999999993</v>
      </c>
    </row>
    <row r="8" spans="1:2">
      <c r="A8" s="32" t="s">
        <v>265</v>
      </c>
      <c r="B8" s="33">
        <v>7641.1500000000005</v>
      </c>
    </row>
    <row r="9" spans="1:2">
      <c r="A9" s="32" t="s">
        <v>266</v>
      </c>
      <c r="B9" s="33">
        <v>5925.9999999999991</v>
      </c>
    </row>
    <row r="10" spans="1:2">
      <c r="A10" s="32" t="s">
        <v>259</v>
      </c>
      <c r="B10" s="33">
        <v>39827.599999999999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45395-B0E0-4E36-9097-A65FF4F6E71B}">
  <dimension ref="A3:B8"/>
  <sheetViews>
    <sheetView workbookViewId="0">
      <selection activeCell="C29" sqref="C29"/>
    </sheetView>
  </sheetViews>
  <sheetFormatPr defaultRowHeight="13.5"/>
  <cols>
    <col min="1" max="1" width="12.875" bestFit="1" customWidth="1"/>
    <col min="2" max="2" width="12.125" bestFit="1" customWidth="1"/>
  </cols>
  <sheetData>
    <row r="3" spans="1:2">
      <c r="A3" s="31" t="s">
        <v>258</v>
      </c>
      <c r="B3" t="s">
        <v>267</v>
      </c>
    </row>
    <row r="4" spans="1:2">
      <c r="A4" s="32" t="s">
        <v>13</v>
      </c>
      <c r="B4" s="33">
        <v>4002.1399999999994</v>
      </c>
    </row>
    <row r="5" spans="1:2">
      <c r="A5" s="32" t="s">
        <v>9</v>
      </c>
      <c r="B5" s="33">
        <v>4498.4600000000009</v>
      </c>
    </row>
    <row r="6" spans="1:2">
      <c r="A6" s="32" t="s">
        <v>11</v>
      </c>
      <c r="B6" s="33">
        <v>4033.44</v>
      </c>
    </row>
    <row r="7" spans="1:2">
      <c r="A7" s="32" t="s">
        <v>15</v>
      </c>
      <c r="B7" s="33">
        <v>3580.2399999999993</v>
      </c>
    </row>
    <row r="8" spans="1:2">
      <c r="A8" s="32" t="s">
        <v>259</v>
      </c>
      <c r="B8" s="33">
        <v>16114.28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1"/>
  <sheetViews>
    <sheetView showGridLines="0" topLeftCell="A2" workbookViewId="0">
      <selection activeCell="A2" sqref="A2"/>
    </sheetView>
  </sheetViews>
  <sheetFormatPr defaultRowHeight="13.5"/>
  <cols>
    <col min="1" max="1" width="8.125" customWidth="1"/>
    <col min="2" max="2" width="9.125" customWidth="1"/>
    <col min="3" max="3" width="5.75" customWidth="1"/>
    <col min="4" max="4" width="12.5" customWidth="1"/>
    <col min="5" max="5" width="8.625" customWidth="1"/>
    <col min="6" max="6" width="7.75" customWidth="1"/>
    <col min="7" max="7" width="7.25" customWidth="1"/>
    <col min="8" max="8" width="8" customWidth="1"/>
    <col min="9" max="9" width="7.25" customWidth="1"/>
    <col min="10" max="12" width="6.625" customWidth="1"/>
  </cols>
  <sheetData>
    <row r="1" spans="1:12" ht="13.9">
      <c r="A1" s="1" t="s">
        <v>18</v>
      </c>
      <c r="B1" s="2" t="s">
        <v>19</v>
      </c>
      <c r="C1" s="2" t="s">
        <v>6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5</v>
      </c>
      <c r="K1" s="2" t="s">
        <v>26</v>
      </c>
      <c r="L1" s="3" t="s">
        <v>7</v>
      </c>
    </row>
    <row r="2" spans="1:12">
      <c r="A2" s="4" t="s">
        <v>27</v>
      </c>
      <c r="B2" s="7">
        <v>46026</v>
      </c>
      <c r="C2" t="s">
        <v>11</v>
      </c>
      <c r="D2" t="s">
        <v>28</v>
      </c>
      <c r="E2" t="s">
        <v>29</v>
      </c>
      <c r="F2" t="s">
        <v>30</v>
      </c>
      <c r="G2" s="9">
        <v>2</v>
      </c>
      <c r="H2" s="11">
        <v>16</v>
      </c>
      <c r="I2" s="13">
        <v>0</v>
      </c>
      <c r="J2" s="11">
        <v>32</v>
      </c>
      <c r="K2" s="11">
        <v>18.239999999999998</v>
      </c>
      <c r="L2" s="15">
        <v>13.76</v>
      </c>
    </row>
    <row r="3" spans="1:12">
      <c r="A3" s="4" t="s">
        <v>31</v>
      </c>
      <c r="B3" s="7">
        <v>46031</v>
      </c>
      <c r="C3" t="s">
        <v>9</v>
      </c>
      <c r="D3" t="s">
        <v>32</v>
      </c>
      <c r="E3" t="s">
        <v>33</v>
      </c>
      <c r="F3" t="s">
        <v>34</v>
      </c>
      <c r="G3" s="9">
        <v>9</v>
      </c>
      <c r="H3" s="11">
        <v>27</v>
      </c>
      <c r="I3" s="13">
        <v>0</v>
      </c>
      <c r="J3" s="11">
        <v>243</v>
      </c>
      <c r="K3" s="11">
        <v>150.66</v>
      </c>
      <c r="L3" s="15">
        <v>92.34</v>
      </c>
    </row>
    <row r="4" spans="1:12">
      <c r="A4" s="4" t="s">
        <v>35</v>
      </c>
      <c r="B4" s="7">
        <v>46036</v>
      </c>
      <c r="C4" t="s">
        <v>15</v>
      </c>
      <c r="D4" t="s">
        <v>36</v>
      </c>
      <c r="E4" t="s">
        <v>37</v>
      </c>
      <c r="F4" t="s">
        <v>38</v>
      </c>
      <c r="G4" s="9">
        <v>7</v>
      </c>
      <c r="H4" s="11">
        <v>38</v>
      </c>
      <c r="I4" s="13">
        <v>0</v>
      </c>
      <c r="J4" s="11">
        <v>266</v>
      </c>
      <c r="K4" s="11">
        <v>178.22</v>
      </c>
      <c r="L4" s="15">
        <v>87.78</v>
      </c>
    </row>
    <row r="5" spans="1:12">
      <c r="A5" s="4" t="s">
        <v>39</v>
      </c>
      <c r="B5" s="7">
        <v>46041</v>
      </c>
      <c r="C5" t="s">
        <v>13</v>
      </c>
      <c r="D5" t="s">
        <v>40</v>
      </c>
      <c r="E5" t="s">
        <v>41</v>
      </c>
      <c r="F5" t="s">
        <v>42</v>
      </c>
      <c r="G5" s="9">
        <v>5</v>
      </c>
      <c r="H5" s="11">
        <v>49</v>
      </c>
      <c r="I5" s="13">
        <v>0</v>
      </c>
      <c r="J5" s="11">
        <v>245</v>
      </c>
      <c r="K5" s="11">
        <v>127.4</v>
      </c>
      <c r="L5" s="15">
        <v>117.6</v>
      </c>
    </row>
    <row r="6" spans="1:12">
      <c r="A6" s="4" t="s">
        <v>43</v>
      </c>
      <c r="B6" s="7">
        <v>46046</v>
      </c>
      <c r="C6" t="s">
        <v>11</v>
      </c>
      <c r="D6" t="s">
        <v>44</v>
      </c>
      <c r="E6" t="s">
        <v>29</v>
      </c>
      <c r="F6" t="s">
        <v>45</v>
      </c>
      <c r="G6" s="9">
        <v>3</v>
      </c>
      <c r="H6" s="11">
        <v>60</v>
      </c>
      <c r="I6" s="13">
        <v>0</v>
      </c>
      <c r="J6" s="11">
        <v>180</v>
      </c>
      <c r="K6" s="11">
        <v>102.6</v>
      </c>
      <c r="L6" s="15">
        <v>77.400000000000006</v>
      </c>
    </row>
    <row r="7" spans="1:12">
      <c r="A7" s="4" t="s">
        <v>46</v>
      </c>
      <c r="B7" s="7">
        <v>46024</v>
      </c>
      <c r="C7" t="s">
        <v>9</v>
      </c>
      <c r="D7" t="s">
        <v>47</v>
      </c>
      <c r="E7" t="s">
        <v>33</v>
      </c>
      <c r="F7" t="s">
        <v>48</v>
      </c>
      <c r="G7" s="9">
        <v>1</v>
      </c>
      <c r="H7" s="11">
        <v>16</v>
      </c>
      <c r="I7" s="13">
        <v>0.1</v>
      </c>
      <c r="J7" s="11">
        <v>14.4</v>
      </c>
      <c r="K7" s="11">
        <v>8.93</v>
      </c>
      <c r="L7" s="15">
        <v>5.47</v>
      </c>
    </row>
    <row r="8" spans="1:12">
      <c r="A8" s="4" t="s">
        <v>49</v>
      </c>
      <c r="B8" s="7">
        <v>46029</v>
      </c>
      <c r="C8" t="s">
        <v>15</v>
      </c>
      <c r="D8" t="s">
        <v>28</v>
      </c>
      <c r="E8" t="s">
        <v>29</v>
      </c>
      <c r="F8" t="s">
        <v>30</v>
      </c>
      <c r="G8" s="9">
        <v>8</v>
      </c>
      <c r="H8" s="11">
        <v>27</v>
      </c>
      <c r="I8" s="13">
        <v>0</v>
      </c>
      <c r="J8" s="11">
        <v>216</v>
      </c>
      <c r="K8" s="11">
        <v>144.72</v>
      </c>
      <c r="L8" s="15">
        <v>71.28</v>
      </c>
    </row>
    <row r="9" spans="1:12">
      <c r="A9" s="4" t="s">
        <v>50</v>
      </c>
      <c r="B9" s="7">
        <v>46034</v>
      </c>
      <c r="C9" t="s">
        <v>13</v>
      </c>
      <c r="D9" t="s">
        <v>32</v>
      </c>
      <c r="E9" t="s">
        <v>33</v>
      </c>
      <c r="F9" t="s">
        <v>34</v>
      </c>
      <c r="G9" s="9">
        <v>6</v>
      </c>
      <c r="H9" s="11">
        <v>38</v>
      </c>
      <c r="I9" s="13">
        <v>0</v>
      </c>
      <c r="J9" s="11">
        <v>228</v>
      </c>
      <c r="K9" s="11">
        <v>118.56</v>
      </c>
      <c r="L9" s="15">
        <v>109.44</v>
      </c>
    </row>
    <row r="10" spans="1:12">
      <c r="A10" s="4" t="s">
        <v>51</v>
      </c>
      <c r="B10" s="7">
        <v>46039</v>
      </c>
      <c r="C10" t="s">
        <v>11</v>
      </c>
      <c r="D10" t="s">
        <v>36</v>
      </c>
      <c r="E10" t="s">
        <v>37</v>
      </c>
      <c r="F10" t="s">
        <v>38</v>
      </c>
      <c r="G10" s="9">
        <v>4</v>
      </c>
      <c r="H10" s="11">
        <v>49</v>
      </c>
      <c r="I10" s="13">
        <v>0</v>
      </c>
      <c r="J10" s="11">
        <v>196</v>
      </c>
      <c r="K10" s="11">
        <v>111.72</v>
      </c>
      <c r="L10" s="15">
        <v>84.28</v>
      </c>
    </row>
    <row r="11" spans="1:12">
      <c r="A11" s="4" t="s">
        <v>52</v>
      </c>
      <c r="B11" s="7">
        <v>46044</v>
      </c>
      <c r="C11" t="s">
        <v>9</v>
      </c>
      <c r="D11" t="s">
        <v>40</v>
      </c>
      <c r="E11" t="s">
        <v>41</v>
      </c>
      <c r="F11" t="s">
        <v>42</v>
      </c>
      <c r="G11" s="9">
        <v>2</v>
      </c>
      <c r="H11" s="11">
        <v>60</v>
      </c>
      <c r="I11" s="13">
        <v>0</v>
      </c>
      <c r="J11" s="11">
        <v>120</v>
      </c>
      <c r="K11" s="11">
        <v>74.400000000000006</v>
      </c>
      <c r="L11" s="15">
        <v>45.6</v>
      </c>
    </row>
    <row r="12" spans="1:12">
      <c r="A12" s="4" t="s">
        <v>53</v>
      </c>
      <c r="B12" s="7">
        <v>46049</v>
      </c>
      <c r="C12" t="s">
        <v>15</v>
      </c>
      <c r="D12" t="s">
        <v>44</v>
      </c>
      <c r="E12" t="s">
        <v>29</v>
      </c>
      <c r="F12" t="s">
        <v>45</v>
      </c>
      <c r="G12" s="9">
        <v>9</v>
      </c>
      <c r="H12" s="11">
        <v>16</v>
      </c>
      <c r="I12" s="13">
        <v>0.05</v>
      </c>
      <c r="J12" s="11">
        <v>136.80000000000001</v>
      </c>
      <c r="K12" s="11">
        <v>91.66</v>
      </c>
      <c r="L12" s="15">
        <v>45.14</v>
      </c>
    </row>
    <row r="13" spans="1:12">
      <c r="A13" s="4" t="s">
        <v>54</v>
      </c>
      <c r="B13" s="7">
        <v>46027</v>
      </c>
      <c r="C13" t="s">
        <v>13</v>
      </c>
      <c r="D13" t="s">
        <v>47</v>
      </c>
      <c r="E13" t="s">
        <v>33</v>
      </c>
      <c r="F13" t="s">
        <v>48</v>
      </c>
      <c r="G13" s="9">
        <v>7</v>
      </c>
      <c r="H13" s="11">
        <v>27</v>
      </c>
      <c r="I13" s="13">
        <v>0.1</v>
      </c>
      <c r="J13" s="11">
        <v>170.1</v>
      </c>
      <c r="K13" s="11">
        <v>88.45</v>
      </c>
      <c r="L13" s="15">
        <v>81.650000000000006</v>
      </c>
    </row>
    <row r="14" spans="1:12">
      <c r="A14" s="4" t="s">
        <v>55</v>
      </c>
      <c r="B14" s="7">
        <v>46032</v>
      </c>
      <c r="C14" t="s">
        <v>11</v>
      </c>
      <c r="D14" t="s">
        <v>28</v>
      </c>
      <c r="E14" t="s">
        <v>29</v>
      </c>
      <c r="F14" t="s">
        <v>30</v>
      </c>
      <c r="G14" s="9">
        <v>5</v>
      </c>
      <c r="H14" s="11">
        <v>38</v>
      </c>
      <c r="I14" s="13">
        <v>0</v>
      </c>
      <c r="J14" s="11">
        <v>190</v>
      </c>
      <c r="K14" s="11">
        <v>108.3</v>
      </c>
      <c r="L14" s="15">
        <v>81.7</v>
      </c>
    </row>
    <row r="15" spans="1:12">
      <c r="A15" s="4" t="s">
        <v>56</v>
      </c>
      <c r="B15" s="7">
        <v>46037</v>
      </c>
      <c r="C15" t="s">
        <v>9</v>
      </c>
      <c r="D15" t="s">
        <v>32</v>
      </c>
      <c r="E15" t="s">
        <v>33</v>
      </c>
      <c r="F15" t="s">
        <v>34</v>
      </c>
      <c r="G15" s="9">
        <v>3</v>
      </c>
      <c r="H15" s="11">
        <v>49</v>
      </c>
      <c r="I15" s="13">
        <v>0</v>
      </c>
      <c r="J15" s="11">
        <v>147</v>
      </c>
      <c r="K15" s="11">
        <v>91.14</v>
      </c>
      <c r="L15" s="15">
        <v>55.86</v>
      </c>
    </row>
    <row r="16" spans="1:12">
      <c r="A16" s="4" t="s">
        <v>57</v>
      </c>
      <c r="B16" s="7">
        <v>46042</v>
      </c>
      <c r="C16" t="s">
        <v>15</v>
      </c>
      <c r="D16" t="s">
        <v>36</v>
      </c>
      <c r="E16" t="s">
        <v>37</v>
      </c>
      <c r="F16" t="s">
        <v>38</v>
      </c>
      <c r="G16" s="9">
        <v>1</v>
      </c>
      <c r="H16" s="11">
        <v>60</v>
      </c>
      <c r="I16" s="13">
        <v>0</v>
      </c>
      <c r="J16" s="11">
        <v>60</v>
      </c>
      <c r="K16" s="11">
        <v>40.200000000000003</v>
      </c>
      <c r="L16" s="15">
        <v>19.8</v>
      </c>
    </row>
    <row r="17" spans="1:12">
      <c r="A17" s="4" t="s">
        <v>58</v>
      </c>
      <c r="B17" s="7">
        <v>46047</v>
      </c>
      <c r="C17" t="s">
        <v>13</v>
      </c>
      <c r="D17" t="s">
        <v>40</v>
      </c>
      <c r="E17" t="s">
        <v>41</v>
      </c>
      <c r="F17" t="s">
        <v>42</v>
      </c>
      <c r="G17" s="9">
        <v>8</v>
      </c>
      <c r="H17" s="11">
        <v>16</v>
      </c>
      <c r="I17" s="13">
        <v>0</v>
      </c>
      <c r="J17" s="11">
        <v>128</v>
      </c>
      <c r="K17" s="11">
        <v>66.56</v>
      </c>
      <c r="L17" s="15">
        <v>61.44</v>
      </c>
    </row>
    <row r="18" spans="1:12">
      <c r="A18" s="4" t="s">
        <v>59</v>
      </c>
      <c r="B18" s="7">
        <v>46025</v>
      </c>
      <c r="C18" t="s">
        <v>11</v>
      </c>
      <c r="D18" t="s">
        <v>44</v>
      </c>
      <c r="E18" t="s">
        <v>29</v>
      </c>
      <c r="F18" t="s">
        <v>45</v>
      </c>
      <c r="G18" s="9">
        <v>6</v>
      </c>
      <c r="H18" s="11">
        <v>27</v>
      </c>
      <c r="I18" s="13">
        <v>0</v>
      </c>
      <c r="J18" s="11">
        <v>162</v>
      </c>
      <c r="K18" s="11">
        <v>92.34</v>
      </c>
      <c r="L18" s="15">
        <v>69.66</v>
      </c>
    </row>
    <row r="19" spans="1:12">
      <c r="A19" s="4" t="s">
        <v>60</v>
      </c>
      <c r="B19" s="7">
        <v>46030</v>
      </c>
      <c r="C19" t="s">
        <v>9</v>
      </c>
      <c r="D19" t="s">
        <v>47</v>
      </c>
      <c r="E19" t="s">
        <v>33</v>
      </c>
      <c r="F19" t="s">
        <v>48</v>
      </c>
      <c r="G19" s="9">
        <v>4</v>
      </c>
      <c r="H19" s="11">
        <v>38</v>
      </c>
      <c r="I19" s="13">
        <v>0.1</v>
      </c>
      <c r="J19" s="11">
        <v>136.80000000000001</v>
      </c>
      <c r="K19" s="11">
        <v>84.82</v>
      </c>
      <c r="L19" s="15">
        <v>51.98</v>
      </c>
    </row>
    <row r="20" spans="1:12">
      <c r="A20" s="4" t="s">
        <v>61</v>
      </c>
      <c r="B20" s="7">
        <v>46035</v>
      </c>
      <c r="C20" t="s">
        <v>15</v>
      </c>
      <c r="D20" t="s">
        <v>28</v>
      </c>
      <c r="E20" t="s">
        <v>29</v>
      </c>
      <c r="F20" t="s">
        <v>30</v>
      </c>
      <c r="G20" s="9">
        <v>2</v>
      </c>
      <c r="H20" s="11">
        <v>49</v>
      </c>
      <c r="I20" s="13">
        <v>0</v>
      </c>
      <c r="J20" s="11">
        <v>98</v>
      </c>
      <c r="K20" s="11">
        <v>65.66</v>
      </c>
      <c r="L20" s="15">
        <v>32.340000000000003</v>
      </c>
    </row>
    <row r="21" spans="1:12">
      <c r="A21" s="4" t="s">
        <v>62</v>
      </c>
      <c r="B21" s="7">
        <v>46040</v>
      </c>
      <c r="C21" t="s">
        <v>13</v>
      </c>
      <c r="D21" t="s">
        <v>32</v>
      </c>
      <c r="E21" t="s">
        <v>33</v>
      </c>
      <c r="F21" t="s">
        <v>34</v>
      </c>
      <c r="G21" s="9">
        <v>9</v>
      </c>
      <c r="H21" s="11">
        <v>60</v>
      </c>
      <c r="I21" s="13">
        <v>0</v>
      </c>
      <c r="J21" s="11">
        <v>540</v>
      </c>
      <c r="K21" s="11">
        <v>280.8</v>
      </c>
      <c r="L21" s="15">
        <v>259.2</v>
      </c>
    </row>
    <row r="22" spans="1:12">
      <c r="A22" s="4" t="s">
        <v>63</v>
      </c>
      <c r="B22" s="7">
        <v>46045</v>
      </c>
      <c r="C22" t="s">
        <v>11</v>
      </c>
      <c r="D22" t="s">
        <v>36</v>
      </c>
      <c r="E22" t="s">
        <v>37</v>
      </c>
      <c r="F22" t="s">
        <v>38</v>
      </c>
      <c r="G22" s="9">
        <v>7</v>
      </c>
      <c r="H22" s="11">
        <v>16</v>
      </c>
      <c r="I22" s="13">
        <v>0</v>
      </c>
      <c r="J22" s="11">
        <v>112</v>
      </c>
      <c r="K22" s="11">
        <v>63.84</v>
      </c>
      <c r="L22" s="15">
        <v>48.16</v>
      </c>
    </row>
    <row r="23" spans="1:12">
      <c r="A23" s="4" t="s">
        <v>64</v>
      </c>
      <c r="B23" s="7">
        <v>46023</v>
      </c>
      <c r="C23" t="s">
        <v>9</v>
      </c>
      <c r="D23" t="s">
        <v>40</v>
      </c>
      <c r="E23" t="s">
        <v>41</v>
      </c>
      <c r="F23" t="s">
        <v>42</v>
      </c>
      <c r="G23" s="9">
        <v>5</v>
      </c>
      <c r="H23" s="11">
        <v>27</v>
      </c>
      <c r="I23" s="13">
        <v>0.05</v>
      </c>
      <c r="J23" s="11">
        <v>128.25</v>
      </c>
      <c r="K23" s="11">
        <v>79.52</v>
      </c>
      <c r="L23" s="15">
        <v>48.73</v>
      </c>
    </row>
    <row r="24" spans="1:12">
      <c r="A24" s="4" t="s">
        <v>65</v>
      </c>
      <c r="B24" s="7">
        <v>46028</v>
      </c>
      <c r="C24" t="s">
        <v>15</v>
      </c>
      <c r="D24" t="s">
        <v>44</v>
      </c>
      <c r="E24" t="s">
        <v>29</v>
      </c>
      <c r="F24" t="s">
        <v>45</v>
      </c>
      <c r="G24" s="9">
        <v>3</v>
      </c>
      <c r="H24" s="11">
        <v>38</v>
      </c>
      <c r="I24" s="13">
        <v>0</v>
      </c>
      <c r="J24" s="11">
        <v>114</v>
      </c>
      <c r="K24" s="11">
        <v>76.38</v>
      </c>
      <c r="L24" s="15">
        <v>37.619999999999997</v>
      </c>
    </row>
    <row r="25" spans="1:12">
      <c r="A25" s="4" t="s">
        <v>66</v>
      </c>
      <c r="B25" s="7">
        <v>46033</v>
      </c>
      <c r="C25" t="s">
        <v>13</v>
      </c>
      <c r="D25" t="s">
        <v>47</v>
      </c>
      <c r="E25" t="s">
        <v>33</v>
      </c>
      <c r="F25" t="s">
        <v>48</v>
      </c>
      <c r="G25" s="9">
        <v>1</v>
      </c>
      <c r="H25" s="11">
        <v>49</v>
      </c>
      <c r="I25" s="13">
        <v>0.1</v>
      </c>
      <c r="J25" s="11">
        <v>44.1</v>
      </c>
      <c r="K25" s="11">
        <v>22.93</v>
      </c>
      <c r="L25" s="15">
        <v>21.17</v>
      </c>
    </row>
    <row r="26" spans="1:12">
      <c r="A26" s="4" t="s">
        <v>67</v>
      </c>
      <c r="B26" s="7">
        <v>46038</v>
      </c>
      <c r="C26" t="s">
        <v>11</v>
      </c>
      <c r="D26" t="s">
        <v>28</v>
      </c>
      <c r="E26" t="s">
        <v>29</v>
      </c>
      <c r="F26" t="s">
        <v>30</v>
      </c>
      <c r="G26" s="9">
        <v>8</v>
      </c>
      <c r="H26" s="11">
        <v>60</v>
      </c>
      <c r="I26" s="13">
        <v>0</v>
      </c>
      <c r="J26" s="11">
        <v>480</v>
      </c>
      <c r="K26" s="11">
        <v>273.60000000000002</v>
      </c>
      <c r="L26" s="15">
        <v>206.4</v>
      </c>
    </row>
    <row r="27" spans="1:12">
      <c r="A27" s="4" t="s">
        <v>68</v>
      </c>
      <c r="B27" s="7">
        <v>46043</v>
      </c>
      <c r="C27" t="s">
        <v>9</v>
      </c>
      <c r="D27" t="s">
        <v>32</v>
      </c>
      <c r="E27" t="s">
        <v>33</v>
      </c>
      <c r="F27" t="s">
        <v>34</v>
      </c>
      <c r="G27" s="9">
        <v>6</v>
      </c>
      <c r="H27" s="11">
        <v>16</v>
      </c>
      <c r="I27" s="13">
        <v>0</v>
      </c>
      <c r="J27" s="11">
        <v>96</v>
      </c>
      <c r="K27" s="11">
        <v>59.52</v>
      </c>
      <c r="L27" s="15">
        <v>36.479999999999997</v>
      </c>
    </row>
    <row r="28" spans="1:12">
      <c r="A28" s="4" t="s">
        <v>69</v>
      </c>
      <c r="B28" s="7">
        <v>46048</v>
      </c>
      <c r="C28" t="s">
        <v>15</v>
      </c>
      <c r="D28" t="s">
        <v>36</v>
      </c>
      <c r="E28" t="s">
        <v>37</v>
      </c>
      <c r="F28" t="s">
        <v>38</v>
      </c>
      <c r="G28" s="9">
        <v>4</v>
      </c>
      <c r="H28" s="11">
        <v>27</v>
      </c>
      <c r="I28" s="13">
        <v>0</v>
      </c>
      <c r="J28" s="11">
        <v>108</v>
      </c>
      <c r="K28" s="11">
        <v>72.36</v>
      </c>
      <c r="L28" s="15">
        <v>35.64</v>
      </c>
    </row>
    <row r="29" spans="1:12">
      <c r="A29" s="4" t="s">
        <v>70</v>
      </c>
      <c r="B29" s="7">
        <v>46026</v>
      </c>
      <c r="C29" t="s">
        <v>13</v>
      </c>
      <c r="D29" t="s">
        <v>40</v>
      </c>
      <c r="E29" t="s">
        <v>41</v>
      </c>
      <c r="F29" t="s">
        <v>42</v>
      </c>
      <c r="G29" s="9">
        <v>2</v>
      </c>
      <c r="H29" s="11">
        <v>38</v>
      </c>
      <c r="I29" s="13">
        <v>0</v>
      </c>
      <c r="J29" s="11">
        <v>76</v>
      </c>
      <c r="K29" s="11">
        <v>39.520000000000003</v>
      </c>
      <c r="L29" s="15">
        <v>36.479999999999997</v>
      </c>
    </row>
    <row r="30" spans="1:12">
      <c r="A30" s="4" t="s">
        <v>71</v>
      </c>
      <c r="B30" s="7">
        <v>46031</v>
      </c>
      <c r="C30" t="s">
        <v>11</v>
      </c>
      <c r="D30" t="s">
        <v>44</v>
      </c>
      <c r="E30" t="s">
        <v>29</v>
      </c>
      <c r="F30" t="s">
        <v>45</v>
      </c>
      <c r="G30" s="9">
        <v>9</v>
      </c>
      <c r="H30" s="11">
        <v>49</v>
      </c>
      <c r="I30" s="13">
        <v>0</v>
      </c>
      <c r="J30" s="11">
        <v>441</v>
      </c>
      <c r="K30" s="11">
        <v>251.37</v>
      </c>
      <c r="L30" s="15">
        <v>189.63</v>
      </c>
    </row>
    <row r="31" spans="1:12">
      <c r="A31" s="4" t="s">
        <v>72</v>
      </c>
      <c r="B31" s="7">
        <v>46036</v>
      </c>
      <c r="C31" t="s">
        <v>9</v>
      </c>
      <c r="D31" t="s">
        <v>47</v>
      </c>
      <c r="E31" t="s">
        <v>33</v>
      </c>
      <c r="F31" t="s">
        <v>48</v>
      </c>
      <c r="G31" s="9">
        <v>7</v>
      </c>
      <c r="H31" s="11">
        <v>60</v>
      </c>
      <c r="I31" s="13">
        <v>0.1</v>
      </c>
      <c r="J31" s="11">
        <v>378</v>
      </c>
      <c r="K31" s="11">
        <v>234.36</v>
      </c>
      <c r="L31" s="15">
        <v>143.63999999999999</v>
      </c>
    </row>
    <row r="32" spans="1:12">
      <c r="A32" s="4" t="s">
        <v>73</v>
      </c>
      <c r="B32" s="7">
        <v>46041</v>
      </c>
      <c r="C32" t="s">
        <v>15</v>
      </c>
      <c r="D32" t="s">
        <v>28</v>
      </c>
      <c r="E32" t="s">
        <v>29</v>
      </c>
      <c r="F32" t="s">
        <v>30</v>
      </c>
      <c r="G32" s="9">
        <v>5</v>
      </c>
      <c r="H32" s="11">
        <v>16</v>
      </c>
      <c r="I32" s="13">
        <v>0</v>
      </c>
      <c r="J32" s="11">
        <v>80</v>
      </c>
      <c r="K32" s="11">
        <v>53.6</v>
      </c>
      <c r="L32" s="15">
        <v>26.4</v>
      </c>
    </row>
    <row r="33" spans="1:12">
      <c r="A33" s="4" t="s">
        <v>74</v>
      </c>
      <c r="B33" s="7">
        <v>46046</v>
      </c>
      <c r="C33" t="s">
        <v>13</v>
      </c>
      <c r="D33" t="s">
        <v>32</v>
      </c>
      <c r="E33" t="s">
        <v>33</v>
      </c>
      <c r="F33" t="s">
        <v>34</v>
      </c>
      <c r="G33" s="9">
        <v>3</v>
      </c>
      <c r="H33" s="11">
        <v>27</v>
      </c>
      <c r="I33" s="13">
        <v>0</v>
      </c>
      <c r="J33" s="11">
        <v>81</v>
      </c>
      <c r="K33" s="11">
        <v>42.12</v>
      </c>
      <c r="L33" s="15">
        <v>38.880000000000003</v>
      </c>
    </row>
    <row r="34" spans="1:12">
      <c r="A34" s="4" t="s">
        <v>75</v>
      </c>
      <c r="B34" s="7">
        <v>46024</v>
      </c>
      <c r="C34" t="s">
        <v>11</v>
      </c>
      <c r="D34" t="s">
        <v>36</v>
      </c>
      <c r="E34" t="s">
        <v>37</v>
      </c>
      <c r="F34" t="s">
        <v>38</v>
      </c>
      <c r="G34" s="9">
        <v>1</v>
      </c>
      <c r="H34" s="11">
        <v>38</v>
      </c>
      <c r="I34" s="13">
        <v>0.05</v>
      </c>
      <c r="J34" s="11">
        <v>36.1</v>
      </c>
      <c r="K34" s="11">
        <v>20.58</v>
      </c>
      <c r="L34" s="15">
        <v>15.52</v>
      </c>
    </row>
    <row r="35" spans="1:12">
      <c r="A35" s="4" t="s">
        <v>76</v>
      </c>
      <c r="B35" s="7">
        <v>46029</v>
      </c>
      <c r="C35" t="s">
        <v>9</v>
      </c>
      <c r="D35" t="s">
        <v>40</v>
      </c>
      <c r="E35" t="s">
        <v>41</v>
      </c>
      <c r="F35" t="s">
        <v>42</v>
      </c>
      <c r="G35" s="9">
        <v>8</v>
      </c>
      <c r="H35" s="11">
        <v>49</v>
      </c>
      <c r="I35" s="13">
        <v>0</v>
      </c>
      <c r="J35" s="11">
        <v>392</v>
      </c>
      <c r="K35" s="11">
        <v>243.04</v>
      </c>
      <c r="L35" s="15">
        <v>148.96</v>
      </c>
    </row>
    <row r="36" spans="1:12">
      <c r="A36" s="4" t="s">
        <v>77</v>
      </c>
      <c r="B36" s="7">
        <v>46034</v>
      </c>
      <c r="C36" t="s">
        <v>15</v>
      </c>
      <c r="D36" t="s">
        <v>44</v>
      </c>
      <c r="E36" t="s">
        <v>29</v>
      </c>
      <c r="F36" t="s">
        <v>45</v>
      </c>
      <c r="G36" s="9">
        <v>6</v>
      </c>
      <c r="H36" s="11">
        <v>60</v>
      </c>
      <c r="I36" s="13">
        <v>0</v>
      </c>
      <c r="J36" s="11">
        <v>360</v>
      </c>
      <c r="K36" s="11">
        <v>241.2</v>
      </c>
      <c r="L36" s="15">
        <v>118.8</v>
      </c>
    </row>
    <row r="37" spans="1:12">
      <c r="A37" s="4" t="s">
        <v>78</v>
      </c>
      <c r="B37" s="7">
        <v>46060</v>
      </c>
      <c r="C37" t="s">
        <v>13</v>
      </c>
      <c r="D37" t="s">
        <v>36</v>
      </c>
      <c r="E37" t="s">
        <v>37</v>
      </c>
      <c r="F37" t="s">
        <v>34</v>
      </c>
      <c r="G37" s="9">
        <v>3</v>
      </c>
      <c r="H37" s="11">
        <v>20</v>
      </c>
      <c r="I37" s="13">
        <v>0</v>
      </c>
      <c r="J37" s="11">
        <v>60</v>
      </c>
      <c r="K37" s="11">
        <v>37.200000000000003</v>
      </c>
      <c r="L37" s="15">
        <v>22.8</v>
      </c>
    </row>
    <row r="38" spans="1:12">
      <c r="A38" s="4" t="s">
        <v>79</v>
      </c>
      <c r="B38" s="7">
        <v>46065</v>
      </c>
      <c r="C38" t="s">
        <v>11</v>
      </c>
      <c r="D38" t="s">
        <v>40</v>
      </c>
      <c r="E38" t="s">
        <v>41</v>
      </c>
      <c r="F38" t="s">
        <v>38</v>
      </c>
      <c r="G38" s="9">
        <v>1</v>
      </c>
      <c r="H38" s="11">
        <v>31</v>
      </c>
      <c r="I38" s="13">
        <v>0</v>
      </c>
      <c r="J38" s="11">
        <v>31</v>
      </c>
      <c r="K38" s="11">
        <v>20.77</v>
      </c>
      <c r="L38" s="15">
        <v>10.23</v>
      </c>
    </row>
    <row r="39" spans="1:12">
      <c r="A39" s="4" t="s">
        <v>80</v>
      </c>
      <c r="B39" s="7">
        <v>46070</v>
      </c>
      <c r="C39" t="s">
        <v>9</v>
      </c>
      <c r="D39" t="s">
        <v>44</v>
      </c>
      <c r="E39" t="s">
        <v>29</v>
      </c>
      <c r="F39" t="s">
        <v>42</v>
      </c>
      <c r="G39" s="9">
        <v>8</v>
      </c>
      <c r="H39" s="11">
        <v>42</v>
      </c>
      <c r="I39" s="13">
        <v>0</v>
      </c>
      <c r="J39" s="11">
        <v>336</v>
      </c>
      <c r="K39" s="11">
        <v>174.72</v>
      </c>
      <c r="L39" s="15">
        <v>161.28</v>
      </c>
    </row>
    <row r="40" spans="1:12">
      <c r="A40" s="4" t="s">
        <v>81</v>
      </c>
      <c r="B40" s="7">
        <v>46075</v>
      </c>
      <c r="C40" t="s">
        <v>15</v>
      </c>
      <c r="D40" t="s">
        <v>47</v>
      </c>
      <c r="E40" t="s">
        <v>33</v>
      </c>
      <c r="F40" t="s">
        <v>45</v>
      </c>
      <c r="G40" s="9">
        <v>6</v>
      </c>
      <c r="H40" s="11">
        <v>53</v>
      </c>
      <c r="I40" s="13">
        <v>0</v>
      </c>
      <c r="J40" s="11">
        <v>318</v>
      </c>
      <c r="K40" s="11">
        <v>181.26</v>
      </c>
      <c r="L40" s="15">
        <v>136.74</v>
      </c>
    </row>
    <row r="41" spans="1:12">
      <c r="A41" s="4" t="s">
        <v>82</v>
      </c>
      <c r="B41" s="7">
        <v>46080</v>
      </c>
      <c r="C41" t="s">
        <v>13</v>
      </c>
      <c r="D41" t="s">
        <v>28</v>
      </c>
      <c r="E41" t="s">
        <v>29</v>
      </c>
      <c r="F41" t="s">
        <v>48</v>
      </c>
      <c r="G41" s="9">
        <v>4</v>
      </c>
      <c r="H41" s="11">
        <v>64</v>
      </c>
      <c r="I41" s="13">
        <v>0.1</v>
      </c>
      <c r="J41" s="11">
        <v>230.4</v>
      </c>
      <c r="K41" s="11">
        <v>142.85</v>
      </c>
      <c r="L41" s="15">
        <v>87.55</v>
      </c>
    </row>
    <row r="42" spans="1:12">
      <c r="A42" s="4" t="s">
        <v>83</v>
      </c>
      <c r="B42" s="7">
        <v>46058</v>
      </c>
      <c r="C42" t="s">
        <v>11</v>
      </c>
      <c r="D42" t="s">
        <v>32</v>
      </c>
      <c r="E42" t="s">
        <v>33</v>
      </c>
      <c r="F42" t="s">
        <v>30</v>
      </c>
      <c r="G42" s="9">
        <v>2</v>
      </c>
      <c r="H42" s="11">
        <v>20</v>
      </c>
      <c r="I42" s="13">
        <v>0</v>
      </c>
      <c r="J42" s="11">
        <v>40</v>
      </c>
      <c r="K42" s="11">
        <v>26.8</v>
      </c>
      <c r="L42" s="15">
        <v>13.2</v>
      </c>
    </row>
    <row r="43" spans="1:12">
      <c r="A43" s="4" t="s">
        <v>84</v>
      </c>
      <c r="B43" s="7">
        <v>46063</v>
      </c>
      <c r="C43" t="s">
        <v>9</v>
      </c>
      <c r="D43" t="s">
        <v>36</v>
      </c>
      <c r="E43" t="s">
        <v>37</v>
      </c>
      <c r="F43" t="s">
        <v>34</v>
      </c>
      <c r="G43" s="9">
        <v>9</v>
      </c>
      <c r="H43" s="11">
        <v>31</v>
      </c>
      <c r="I43" s="13">
        <v>0</v>
      </c>
      <c r="J43" s="11">
        <v>279</v>
      </c>
      <c r="K43" s="11">
        <v>145.08000000000001</v>
      </c>
      <c r="L43" s="15">
        <v>133.91999999999999</v>
      </c>
    </row>
    <row r="44" spans="1:12">
      <c r="A44" s="4" t="s">
        <v>85</v>
      </c>
      <c r="B44" s="7">
        <v>46068</v>
      </c>
      <c r="C44" t="s">
        <v>15</v>
      </c>
      <c r="D44" t="s">
        <v>40</v>
      </c>
      <c r="E44" t="s">
        <v>41</v>
      </c>
      <c r="F44" t="s">
        <v>38</v>
      </c>
      <c r="G44" s="9">
        <v>7</v>
      </c>
      <c r="H44" s="11">
        <v>42</v>
      </c>
      <c r="I44" s="13">
        <v>0</v>
      </c>
      <c r="J44" s="11">
        <v>294</v>
      </c>
      <c r="K44" s="11">
        <v>167.58</v>
      </c>
      <c r="L44" s="15">
        <v>126.42</v>
      </c>
    </row>
    <row r="45" spans="1:12">
      <c r="A45" s="4" t="s">
        <v>86</v>
      </c>
      <c r="B45" s="7">
        <v>46073</v>
      </c>
      <c r="C45" t="s">
        <v>13</v>
      </c>
      <c r="D45" t="s">
        <v>44</v>
      </c>
      <c r="E45" t="s">
        <v>29</v>
      </c>
      <c r="F45" t="s">
        <v>42</v>
      </c>
      <c r="G45" s="9">
        <v>5</v>
      </c>
      <c r="H45" s="11">
        <v>53</v>
      </c>
      <c r="I45" s="13">
        <v>0</v>
      </c>
      <c r="J45" s="11">
        <v>265</v>
      </c>
      <c r="K45" s="11">
        <v>164.3</v>
      </c>
      <c r="L45" s="15">
        <v>100.7</v>
      </c>
    </row>
    <row r="46" spans="1:12">
      <c r="A46" s="4" t="s">
        <v>87</v>
      </c>
      <c r="B46" s="7">
        <v>46078</v>
      </c>
      <c r="C46" t="s">
        <v>11</v>
      </c>
      <c r="D46" t="s">
        <v>47</v>
      </c>
      <c r="E46" t="s">
        <v>33</v>
      </c>
      <c r="F46" t="s">
        <v>45</v>
      </c>
      <c r="G46" s="9">
        <v>3</v>
      </c>
      <c r="H46" s="11">
        <v>64</v>
      </c>
      <c r="I46" s="13">
        <v>0.05</v>
      </c>
      <c r="J46" s="11">
        <v>182.4</v>
      </c>
      <c r="K46" s="11">
        <v>122.21</v>
      </c>
      <c r="L46" s="15">
        <v>60.19</v>
      </c>
    </row>
    <row r="47" spans="1:12">
      <c r="A47" s="4" t="s">
        <v>88</v>
      </c>
      <c r="B47" s="7">
        <v>46056</v>
      </c>
      <c r="C47" t="s">
        <v>9</v>
      </c>
      <c r="D47" t="s">
        <v>28</v>
      </c>
      <c r="E47" t="s">
        <v>29</v>
      </c>
      <c r="F47" t="s">
        <v>48</v>
      </c>
      <c r="G47" s="9">
        <v>1</v>
      </c>
      <c r="H47" s="11">
        <v>20</v>
      </c>
      <c r="I47" s="13">
        <v>0.1</v>
      </c>
      <c r="J47" s="11">
        <v>18</v>
      </c>
      <c r="K47" s="11">
        <v>9.36</v>
      </c>
      <c r="L47" s="15">
        <v>8.64</v>
      </c>
    </row>
    <row r="48" spans="1:12">
      <c r="A48" s="4" t="s">
        <v>89</v>
      </c>
      <c r="B48" s="7">
        <v>46061</v>
      </c>
      <c r="C48" t="s">
        <v>15</v>
      </c>
      <c r="D48" t="s">
        <v>32</v>
      </c>
      <c r="E48" t="s">
        <v>33</v>
      </c>
      <c r="F48" t="s">
        <v>30</v>
      </c>
      <c r="G48" s="9">
        <v>8</v>
      </c>
      <c r="H48" s="11">
        <v>31</v>
      </c>
      <c r="I48" s="13">
        <v>0</v>
      </c>
      <c r="J48" s="11">
        <v>248</v>
      </c>
      <c r="K48" s="11">
        <v>141.36000000000001</v>
      </c>
      <c r="L48" s="15">
        <v>106.64</v>
      </c>
    </row>
    <row r="49" spans="1:12">
      <c r="A49" s="4" t="s">
        <v>90</v>
      </c>
      <c r="B49" s="7">
        <v>46066</v>
      </c>
      <c r="C49" t="s">
        <v>13</v>
      </c>
      <c r="D49" t="s">
        <v>36</v>
      </c>
      <c r="E49" t="s">
        <v>37</v>
      </c>
      <c r="F49" t="s">
        <v>34</v>
      </c>
      <c r="G49" s="9">
        <v>6</v>
      </c>
      <c r="H49" s="11">
        <v>42</v>
      </c>
      <c r="I49" s="13">
        <v>0</v>
      </c>
      <c r="J49" s="11">
        <v>252</v>
      </c>
      <c r="K49" s="11">
        <v>156.24</v>
      </c>
      <c r="L49" s="15">
        <v>95.76</v>
      </c>
    </row>
    <row r="50" spans="1:12">
      <c r="A50" s="4" t="s">
        <v>91</v>
      </c>
      <c r="B50" s="7">
        <v>46071</v>
      </c>
      <c r="C50" t="s">
        <v>11</v>
      </c>
      <c r="D50" t="s">
        <v>40</v>
      </c>
      <c r="E50" t="s">
        <v>41</v>
      </c>
      <c r="F50" t="s">
        <v>38</v>
      </c>
      <c r="G50" s="9">
        <v>4</v>
      </c>
      <c r="H50" s="11">
        <v>53</v>
      </c>
      <c r="I50" s="13">
        <v>0</v>
      </c>
      <c r="J50" s="11">
        <v>212</v>
      </c>
      <c r="K50" s="11">
        <v>142.04</v>
      </c>
      <c r="L50" s="15">
        <v>69.959999999999994</v>
      </c>
    </row>
    <row r="51" spans="1:12">
      <c r="A51" s="4" t="s">
        <v>92</v>
      </c>
      <c r="B51" s="7">
        <v>46076</v>
      </c>
      <c r="C51" t="s">
        <v>9</v>
      </c>
      <c r="D51" t="s">
        <v>44</v>
      </c>
      <c r="E51" t="s">
        <v>29</v>
      </c>
      <c r="F51" t="s">
        <v>42</v>
      </c>
      <c r="G51" s="9">
        <v>2</v>
      </c>
      <c r="H51" s="11">
        <v>64</v>
      </c>
      <c r="I51" s="13">
        <v>0</v>
      </c>
      <c r="J51" s="11">
        <v>128</v>
      </c>
      <c r="K51" s="11">
        <v>66.56</v>
      </c>
      <c r="L51" s="15">
        <v>61.44</v>
      </c>
    </row>
    <row r="52" spans="1:12">
      <c r="A52" s="4" t="s">
        <v>93</v>
      </c>
      <c r="B52" s="7">
        <v>46054</v>
      </c>
      <c r="C52" t="s">
        <v>15</v>
      </c>
      <c r="D52" t="s">
        <v>47</v>
      </c>
      <c r="E52" t="s">
        <v>33</v>
      </c>
      <c r="F52" t="s">
        <v>45</v>
      </c>
      <c r="G52" s="9">
        <v>9</v>
      </c>
      <c r="H52" s="11">
        <v>20</v>
      </c>
      <c r="I52" s="13">
        <v>0</v>
      </c>
      <c r="J52" s="11">
        <v>180</v>
      </c>
      <c r="K52" s="11">
        <v>102.6</v>
      </c>
      <c r="L52" s="15">
        <v>77.400000000000006</v>
      </c>
    </row>
    <row r="53" spans="1:12">
      <c r="A53" s="4" t="s">
        <v>94</v>
      </c>
      <c r="B53" s="7">
        <v>46059</v>
      </c>
      <c r="C53" t="s">
        <v>13</v>
      </c>
      <c r="D53" t="s">
        <v>28</v>
      </c>
      <c r="E53" t="s">
        <v>29</v>
      </c>
      <c r="F53" t="s">
        <v>48</v>
      </c>
      <c r="G53" s="9">
        <v>7</v>
      </c>
      <c r="H53" s="11">
        <v>31</v>
      </c>
      <c r="I53" s="13">
        <v>0.1</v>
      </c>
      <c r="J53" s="11">
        <v>195.3</v>
      </c>
      <c r="K53" s="11">
        <v>121.09</v>
      </c>
      <c r="L53" s="15">
        <v>74.209999999999994</v>
      </c>
    </row>
    <row r="54" spans="1:12">
      <c r="A54" s="4" t="s">
        <v>95</v>
      </c>
      <c r="B54" s="7">
        <v>46064</v>
      </c>
      <c r="C54" t="s">
        <v>11</v>
      </c>
      <c r="D54" t="s">
        <v>32</v>
      </c>
      <c r="E54" t="s">
        <v>33</v>
      </c>
      <c r="F54" t="s">
        <v>30</v>
      </c>
      <c r="G54" s="9">
        <v>5</v>
      </c>
      <c r="H54" s="11">
        <v>42</v>
      </c>
      <c r="I54" s="13">
        <v>0</v>
      </c>
      <c r="J54" s="11">
        <v>210</v>
      </c>
      <c r="K54" s="11">
        <v>140.69999999999999</v>
      </c>
      <c r="L54" s="15">
        <v>69.3</v>
      </c>
    </row>
    <row r="55" spans="1:12">
      <c r="A55" s="4" t="s">
        <v>96</v>
      </c>
      <c r="B55" s="7">
        <v>46069</v>
      </c>
      <c r="C55" t="s">
        <v>9</v>
      </c>
      <c r="D55" t="s">
        <v>36</v>
      </c>
      <c r="E55" t="s">
        <v>37</v>
      </c>
      <c r="F55" t="s">
        <v>34</v>
      </c>
      <c r="G55" s="9">
        <v>3</v>
      </c>
      <c r="H55" s="11">
        <v>53</v>
      </c>
      <c r="I55" s="13">
        <v>0</v>
      </c>
      <c r="J55" s="11">
        <v>159</v>
      </c>
      <c r="K55" s="11">
        <v>82.68</v>
      </c>
      <c r="L55" s="15">
        <v>76.319999999999993</v>
      </c>
    </row>
    <row r="56" spans="1:12">
      <c r="A56" s="4" t="s">
        <v>97</v>
      </c>
      <c r="B56" s="7">
        <v>46074</v>
      </c>
      <c r="C56" t="s">
        <v>15</v>
      </c>
      <c r="D56" t="s">
        <v>40</v>
      </c>
      <c r="E56" t="s">
        <v>41</v>
      </c>
      <c r="F56" t="s">
        <v>38</v>
      </c>
      <c r="G56" s="9">
        <v>1</v>
      </c>
      <c r="H56" s="11">
        <v>64</v>
      </c>
      <c r="I56" s="13">
        <v>0</v>
      </c>
      <c r="J56" s="11">
        <v>64</v>
      </c>
      <c r="K56" s="11">
        <v>36.479999999999997</v>
      </c>
      <c r="L56" s="15">
        <v>27.52</v>
      </c>
    </row>
    <row r="57" spans="1:12">
      <c r="A57" s="4" t="s">
        <v>98</v>
      </c>
      <c r="B57" s="7">
        <v>46079</v>
      </c>
      <c r="C57" t="s">
        <v>13</v>
      </c>
      <c r="D57" t="s">
        <v>44</v>
      </c>
      <c r="E57" t="s">
        <v>29</v>
      </c>
      <c r="F57" t="s">
        <v>42</v>
      </c>
      <c r="G57" s="9">
        <v>8</v>
      </c>
      <c r="H57" s="11">
        <v>20</v>
      </c>
      <c r="I57" s="13">
        <v>0.05</v>
      </c>
      <c r="J57" s="11">
        <v>152</v>
      </c>
      <c r="K57" s="11">
        <v>94.24</v>
      </c>
      <c r="L57" s="15">
        <v>57.76</v>
      </c>
    </row>
    <row r="58" spans="1:12">
      <c r="A58" s="4" t="s">
        <v>99</v>
      </c>
      <c r="B58" s="7">
        <v>46057</v>
      </c>
      <c r="C58" t="s">
        <v>11</v>
      </c>
      <c r="D58" t="s">
        <v>47</v>
      </c>
      <c r="E58" t="s">
        <v>33</v>
      </c>
      <c r="F58" t="s">
        <v>45</v>
      </c>
      <c r="G58" s="9">
        <v>6</v>
      </c>
      <c r="H58" s="11">
        <v>31</v>
      </c>
      <c r="I58" s="13">
        <v>0</v>
      </c>
      <c r="J58" s="11">
        <v>186</v>
      </c>
      <c r="K58" s="11">
        <v>124.62</v>
      </c>
      <c r="L58" s="15">
        <v>61.38</v>
      </c>
    </row>
    <row r="59" spans="1:12">
      <c r="A59" s="4" t="s">
        <v>100</v>
      </c>
      <c r="B59" s="7">
        <v>46062</v>
      </c>
      <c r="C59" t="s">
        <v>9</v>
      </c>
      <c r="D59" t="s">
        <v>28</v>
      </c>
      <c r="E59" t="s">
        <v>29</v>
      </c>
      <c r="F59" t="s">
        <v>48</v>
      </c>
      <c r="G59" s="9">
        <v>4</v>
      </c>
      <c r="H59" s="11">
        <v>42</v>
      </c>
      <c r="I59" s="13">
        <v>0.1</v>
      </c>
      <c r="J59" s="11">
        <v>151.19999999999999</v>
      </c>
      <c r="K59" s="11">
        <v>78.62</v>
      </c>
      <c r="L59" s="15">
        <v>72.58</v>
      </c>
    </row>
    <row r="60" spans="1:12">
      <c r="A60" s="4" t="s">
        <v>101</v>
      </c>
      <c r="B60" s="7">
        <v>46067</v>
      </c>
      <c r="C60" t="s">
        <v>15</v>
      </c>
      <c r="D60" t="s">
        <v>32</v>
      </c>
      <c r="E60" t="s">
        <v>33</v>
      </c>
      <c r="F60" t="s">
        <v>30</v>
      </c>
      <c r="G60" s="9">
        <v>2</v>
      </c>
      <c r="H60" s="11">
        <v>53</v>
      </c>
      <c r="I60" s="13">
        <v>0</v>
      </c>
      <c r="J60" s="11">
        <v>106</v>
      </c>
      <c r="K60" s="11">
        <v>60.42</v>
      </c>
      <c r="L60" s="15">
        <v>45.58</v>
      </c>
    </row>
    <row r="61" spans="1:12">
      <c r="A61" s="4" t="s">
        <v>102</v>
      </c>
      <c r="B61" s="7">
        <v>46072</v>
      </c>
      <c r="C61" t="s">
        <v>13</v>
      </c>
      <c r="D61" t="s">
        <v>36</v>
      </c>
      <c r="E61" t="s">
        <v>37</v>
      </c>
      <c r="F61" t="s">
        <v>34</v>
      </c>
      <c r="G61" s="9">
        <v>9</v>
      </c>
      <c r="H61" s="11">
        <v>64</v>
      </c>
      <c r="I61" s="13">
        <v>0</v>
      </c>
      <c r="J61" s="11">
        <v>576</v>
      </c>
      <c r="K61" s="11">
        <v>357.12</v>
      </c>
      <c r="L61" s="15">
        <v>218.88</v>
      </c>
    </row>
    <row r="62" spans="1:12">
      <c r="A62" s="4" t="s">
        <v>103</v>
      </c>
      <c r="B62" s="7">
        <v>46077</v>
      </c>
      <c r="C62" t="s">
        <v>11</v>
      </c>
      <c r="D62" t="s">
        <v>40</v>
      </c>
      <c r="E62" t="s">
        <v>41</v>
      </c>
      <c r="F62" t="s">
        <v>38</v>
      </c>
      <c r="G62" s="9">
        <v>7</v>
      </c>
      <c r="H62" s="11">
        <v>20</v>
      </c>
      <c r="I62" s="13">
        <v>0</v>
      </c>
      <c r="J62" s="11">
        <v>140</v>
      </c>
      <c r="K62" s="11">
        <v>93.8</v>
      </c>
      <c r="L62" s="15">
        <v>46.2</v>
      </c>
    </row>
    <row r="63" spans="1:12">
      <c r="A63" s="4" t="s">
        <v>104</v>
      </c>
      <c r="B63" s="7">
        <v>46055</v>
      </c>
      <c r="C63" t="s">
        <v>9</v>
      </c>
      <c r="D63" t="s">
        <v>44</v>
      </c>
      <c r="E63" t="s">
        <v>29</v>
      </c>
      <c r="F63" t="s">
        <v>42</v>
      </c>
      <c r="G63" s="9">
        <v>5</v>
      </c>
      <c r="H63" s="11">
        <v>31</v>
      </c>
      <c r="I63" s="13">
        <v>0</v>
      </c>
      <c r="J63" s="11">
        <v>155</v>
      </c>
      <c r="K63" s="11">
        <v>80.599999999999994</v>
      </c>
      <c r="L63" s="15">
        <v>74.400000000000006</v>
      </c>
    </row>
    <row r="64" spans="1:12">
      <c r="A64" s="4" t="s">
        <v>105</v>
      </c>
      <c r="B64" s="7">
        <v>46060</v>
      </c>
      <c r="C64" t="s">
        <v>15</v>
      </c>
      <c r="D64" t="s">
        <v>47</v>
      </c>
      <c r="E64" t="s">
        <v>33</v>
      </c>
      <c r="F64" t="s">
        <v>45</v>
      </c>
      <c r="G64" s="9">
        <v>3</v>
      </c>
      <c r="H64" s="11">
        <v>42</v>
      </c>
      <c r="I64" s="13">
        <v>0</v>
      </c>
      <c r="J64" s="11">
        <v>126</v>
      </c>
      <c r="K64" s="11">
        <v>71.819999999999993</v>
      </c>
      <c r="L64" s="15">
        <v>54.18</v>
      </c>
    </row>
    <row r="65" spans="1:12">
      <c r="A65" s="4" t="s">
        <v>106</v>
      </c>
      <c r="B65" s="7">
        <v>46065</v>
      </c>
      <c r="C65" t="s">
        <v>13</v>
      </c>
      <c r="D65" t="s">
        <v>28</v>
      </c>
      <c r="E65" t="s">
        <v>29</v>
      </c>
      <c r="F65" t="s">
        <v>48</v>
      </c>
      <c r="G65" s="9">
        <v>1</v>
      </c>
      <c r="H65" s="11">
        <v>53</v>
      </c>
      <c r="I65" s="13">
        <v>0.1</v>
      </c>
      <c r="J65" s="11">
        <v>47.7</v>
      </c>
      <c r="K65" s="11">
        <v>29.57</v>
      </c>
      <c r="L65" s="15">
        <v>18.13</v>
      </c>
    </row>
    <row r="66" spans="1:12">
      <c r="A66" s="4" t="s">
        <v>107</v>
      </c>
      <c r="B66" s="7">
        <v>46070</v>
      </c>
      <c r="C66" t="s">
        <v>11</v>
      </c>
      <c r="D66" t="s">
        <v>32</v>
      </c>
      <c r="E66" t="s">
        <v>33</v>
      </c>
      <c r="F66" t="s">
        <v>30</v>
      </c>
      <c r="G66" s="9">
        <v>8</v>
      </c>
      <c r="H66" s="11">
        <v>64</v>
      </c>
      <c r="I66" s="13">
        <v>0</v>
      </c>
      <c r="J66" s="11">
        <v>512</v>
      </c>
      <c r="K66" s="11">
        <v>343.04</v>
      </c>
      <c r="L66" s="15">
        <v>168.96</v>
      </c>
    </row>
    <row r="67" spans="1:12">
      <c r="A67" s="4" t="s">
        <v>108</v>
      </c>
      <c r="B67" s="7">
        <v>46075</v>
      </c>
      <c r="C67" t="s">
        <v>9</v>
      </c>
      <c r="D67" t="s">
        <v>36</v>
      </c>
      <c r="E67" t="s">
        <v>37</v>
      </c>
      <c r="F67" t="s">
        <v>34</v>
      </c>
      <c r="G67" s="9">
        <v>6</v>
      </c>
      <c r="H67" s="11">
        <v>20</v>
      </c>
      <c r="I67" s="13">
        <v>0</v>
      </c>
      <c r="J67" s="11">
        <v>120</v>
      </c>
      <c r="K67" s="11">
        <v>62.4</v>
      </c>
      <c r="L67" s="15">
        <v>57.6</v>
      </c>
    </row>
    <row r="68" spans="1:12">
      <c r="A68" s="4" t="s">
        <v>109</v>
      </c>
      <c r="B68" s="7">
        <v>46080</v>
      </c>
      <c r="C68" t="s">
        <v>15</v>
      </c>
      <c r="D68" t="s">
        <v>40</v>
      </c>
      <c r="E68" t="s">
        <v>41</v>
      </c>
      <c r="F68" t="s">
        <v>38</v>
      </c>
      <c r="G68" s="9">
        <v>4</v>
      </c>
      <c r="H68" s="11">
        <v>31</v>
      </c>
      <c r="I68" s="13">
        <v>0.05</v>
      </c>
      <c r="J68" s="11">
        <v>117.8</v>
      </c>
      <c r="K68" s="11">
        <v>67.150000000000006</v>
      </c>
      <c r="L68" s="15">
        <v>50.65</v>
      </c>
    </row>
    <row r="69" spans="1:12">
      <c r="A69" s="4" t="s">
        <v>110</v>
      </c>
      <c r="B69" s="7">
        <v>46058</v>
      </c>
      <c r="C69" t="s">
        <v>13</v>
      </c>
      <c r="D69" t="s">
        <v>44</v>
      </c>
      <c r="E69" t="s">
        <v>29</v>
      </c>
      <c r="F69" t="s">
        <v>42</v>
      </c>
      <c r="G69" s="9">
        <v>2</v>
      </c>
      <c r="H69" s="11">
        <v>42</v>
      </c>
      <c r="I69" s="13">
        <v>0</v>
      </c>
      <c r="J69" s="11">
        <v>84</v>
      </c>
      <c r="K69" s="11">
        <v>52.08</v>
      </c>
      <c r="L69" s="15">
        <v>31.92</v>
      </c>
    </row>
    <row r="70" spans="1:12">
      <c r="A70" s="4" t="s">
        <v>111</v>
      </c>
      <c r="B70" s="7">
        <v>46063</v>
      </c>
      <c r="C70" t="s">
        <v>11</v>
      </c>
      <c r="D70" t="s">
        <v>47</v>
      </c>
      <c r="E70" t="s">
        <v>33</v>
      </c>
      <c r="F70" t="s">
        <v>45</v>
      </c>
      <c r="G70" s="9">
        <v>9</v>
      </c>
      <c r="H70" s="11">
        <v>53</v>
      </c>
      <c r="I70" s="13">
        <v>0</v>
      </c>
      <c r="J70" s="11">
        <v>477</v>
      </c>
      <c r="K70" s="11">
        <v>319.58999999999997</v>
      </c>
      <c r="L70" s="15">
        <v>157.41</v>
      </c>
    </row>
    <row r="71" spans="1:12">
      <c r="A71" s="4" t="s">
        <v>112</v>
      </c>
      <c r="B71" s="7">
        <v>46068</v>
      </c>
      <c r="C71" t="s">
        <v>9</v>
      </c>
      <c r="D71" t="s">
        <v>28</v>
      </c>
      <c r="E71" t="s">
        <v>29</v>
      </c>
      <c r="F71" t="s">
        <v>48</v>
      </c>
      <c r="G71" s="9">
        <v>7</v>
      </c>
      <c r="H71" s="11">
        <v>64</v>
      </c>
      <c r="I71" s="13">
        <v>0.1</v>
      </c>
      <c r="J71" s="11">
        <v>403.2</v>
      </c>
      <c r="K71" s="11">
        <v>209.66</v>
      </c>
      <c r="L71" s="15">
        <v>193.54</v>
      </c>
    </row>
    <row r="72" spans="1:12">
      <c r="A72" s="4" t="s">
        <v>113</v>
      </c>
      <c r="B72" s="7">
        <v>46091</v>
      </c>
      <c r="C72" t="s">
        <v>15</v>
      </c>
      <c r="D72" t="s">
        <v>44</v>
      </c>
      <c r="E72" t="s">
        <v>29</v>
      </c>
      <c r="F72" t="s">
        <v>38</v>
      </c>
      <c r="G72" s="9">
        <v>4</v>
      </c>
      <c r="H72" s="11">
        <v>24</v>
      </c>
      <c r="I72" s="13">
        <v>0</v>
      </c>
      <c r="J72" s="11">
        <v>96</v>
      </c>
      <c r="K72" s="11">
        <v>64.319999999999993</v>
      </c>
      <c r="L72" s="15">
        <v>31.68</v>
      </c>
    </row>
    <row r="73" spans="1:12">
      <c r="A73" s="4" t="s">
        <v>114</v>
      </c>
      <c r="B73" s="7">
        <v>46096</v>
      </c>
      <c r="C73" t="s">
        <v>13</v>
      </c>
      <c r="D73" t="s">
        <v>47</v>
      </c>
      <c r="E73" t="s">
        <v>33</v>
      </c>
      <c r="F73" t="s">
        <v>42</v>
      </c>
      <c r="G73" s="9">
        <v>2</v>
      </c>
      <c r="H73" s="11">
        <v>35</v>
      </c>
      <c r="I73" s="13">
        <v>0</v>
      </c>
      <c r="J73" s="11">
        <v>70</v>
      </c>
      <c r="K73" s="11">
        <v>36.4</v>
      </c>
      <c r="L73" s="15">
        <v>33.6</v>
      </c>
    </row>
    <row r="74" spans="1:12">
      <c r="A74" s="4" t="s">
        <v>115</v>
      </c>
      <c r="B74" s="7">
        <v>46101</v>
      </c>
      <c r="C74" t="s">
        <v>11</v>
      </c>
      <c r="D74" t="s">
        <v>28</v>
      </c>
      <c r="E74" t="s">
        <v>29</v>
      </c>
      <c r="F74" t="s">
        <v>45</v>
      </c>
      <c r="G74" s="9">
        <v>9</v>
      </c>
      <c r="H74" s="11">
        <v>46</v>
      </c>
      <c r="I74" s="13">
        <v>0</v>
      </c>
      <c r="J74" s="11">
        <v>414</v>
      </c>
      <c r="K74" s="11">
        <v>235.98</v>
      </c>
      <c r="L74" s="15">
        <v>178.02</v>
      </c>
    </row>
    <row r="75" spans="1:12">
      <c r="A75" s="4" t="s">
        <v>116</v>
      </c>
      <c r="B75" s="7">
        <v>46106</v>
      </c>
      <c r="C75" t="s">
        <v>9</v>
      </c>
      <c r="D75" t="s">
        <v>32</v>
      </c>
      <c r="E75" t="s">
        <v>33</v>
      </c>
      <c r="F75" t="s">
        <v>48</v>
      </c>
      <c r="G75" s="9">
        <v>7</v>
      </c>
      <c r="H75" s="11">
        <v>57</v>
      </c>
      <c r="I75" s="13">
        <v>0.1</v>
      </c>
      <c r="J75" s="11">
        <v>359.1</v>
      </c>
      <c r="K75" s="11">
        <v>222.64</v>
      </c>
      <c r="L75" s="15">
        <v>136.46</v>
      </c>
    </row>
    <row r="76" spans="1:12">
      <c r="A76" s="4" t="s">
        <v>117</v>
      </c>
      <c r="B76" s="7">
        <v>46084</v>
      </c>
      <c r="C76" t="s">
        <v>15</v>
      </c>
      <c r="D76" t="s">
        <v>36</v>
      </c>
      <c r="E76" t="s">
        <v>37</v>
      </c>
      <c r="F76" t="s">
        <v>30</v>
      </c>
      <c r="G76" s="9">
        <v>5</v>
      </c>
      <c r="H76" s="11">
        <v>13</v>
      </c>
      <c r="I76" s="13">
        <v>0</v>
      </c>
      <c r="J76" s="11">
        <v>65</v>
      </c>
      <c r="K76" s="11">
        <v>43.55</v>
      </c>
      <c r="L76" s="15">
        <v>21.45</v>
      </c>
    </row>
    <row r="77" spans="1:12">
      <c r="A77" s="4" t="s">
        <v>118</v>
      </c>
      <c r="B77" s="7">
        <v>46089</v>
      </c>
      <c r="C77" t="s">
        <v>13</v>
      </c>
      <c r="D77" t="s">
        <v>40</v>
      </c>
      <c r="E77" t="s">
        <v>41</v>
      </c>
      <c r="F77" t="s">
        <v>34</v>
      </c>
      <c r="G77" s="9">
        <v>3</v>
      </c>
      <c r="H77" s="11">
        <v>24</v>
      </c>
      <c r="I77" s="13">
        <v>0</v>
      </c>
      <c r="J77" s="11">
        <v>72</v>
      </c>
      <c r="K77" s="11">
        <v>37.44</v>
      </c>
      <c r="L77" s="15">
        <v>34.56</v>
      </c>
    </row>
    <row r="78" spans="1:12">
      <c r="A78" s="4" t="s">
        <v>119</v>
      </c>
      <c r="B78" s="7">
        <v>46094</v>
      </c>
      <c r="C78" t="s">
        <v>11</v>
      </c>
      <c r="D78" t="s">
        <v>44</v>
      </c>
      <c r="E78" t="s">
        <v>29</v>
      </c>
      <c r="F78" t="s">
        <v>38</v>
      </c>
      <c r="G78" s="9">
        <v>1</v>
      </c>
      <c r="H78" s="11">
        <v>35</v>
      </c>
      <c r="I78" s="13">
        <v>0</v>
      </c>
      <c r="J78" s="11">
        <v>35</v>
      </c>
      <c r="K78" s="11">
        <v>19.95</v>
      </c>
      <c r="L78" s="15">
        <v>15.05</v>
      </c>
    </row>
    <row r="79" spans="1:12">
      <c r="A79" s="4" t="s">
        <v>120</v>
      </c>
      <c r="B79" s="7">
        <v>46099</v>
      </c>
      <c r="C79" t="s">
        <v>9</v>
      </c>
      <c r="D79" t="s">
        <v>47</v>
      </c>
      <c r="E79" t="s">
        <v>33</v>
      </c>
      <c r="F79" t="s">
        <v>42</v>
      </c>
      <c r="G79" s="9">
        <v>8</v>
      </c>
      <c r="H79" s="11">
        <v>46</v>
      </c>
      <c r="I79" s="13">
        <v>0</v>
      </c>
      <c r="J79" s="11">
        <v>368</v>
      </c>
      <c r="K79" s="11">
        <v>228.16</v>
      </c>
      <c r="L79" s="15">
        <v>139.84</v>
      </c>
    </row>
    <row r="80" spans="1:12">
      <c r="A80" s="4" t="s">
        <v>121</v>
      </c>
      <c r="B80" s="7">
        <v>46104</v>
      </c>
      <c r="C80" t="s">
        <v>15</v>
      </c>
      <c r="D80" t="s">
        <v>28</v>
      </c>
      <c r="E80" t="s">
        <v>29</v>
      </c>
      <c r="F80" t="s">
        <v>45</v>
      </c>
      <c r="G80" s="9">
        <v>6</v>
      </c>
      <c r="H80" s="11">
        <v>57</v>
      </c>
      <c r="I80" s="13">
        <v>0.05</v>
      </c>
      <c r="J80" s="11">
        <v>324.89999999999998</v>
      </c>
      <c r="K80" s="11">
        <v>217.68</v>
      </c>
      <c r="L80" s="15">
        <v>107.22</v>
      </c>
    </row>
    <row r="81" spans="1:12">
      <c r="A81" s="4" t="s">
        <v>122</v>
      </c>
      <c r="B81" s="7">
        <v>46082</v>
      </c>
      <c r="C81" t="s">
        <v>13</v>
      </c>
      <c r="D81" t="s">
        <v>32</v>
      </c>
      <c r="E81" t="s">
        <v>33</v>
      </c>
      <c r="F81" t="s">
        <v>48</v>
      </c>
      <c r="G81" s="9">
        <v>4</v>
      </c>
      <c r="H81" s="11">
        <v>13</v>
      </c>
      <c r="I81" s="13">
        <v>0.1</v>
      </c>
      <c r="J81" s="11">
        <v>46.8</v>
      </c>
      <c r="K81" s="11">
        <v>24.34</v>
      </c>
      <c r="L81" s="15">
        <v>22.46</v>
      </c>
    </row>
    <row r="82" spans="1:12">
      <c r="A82" s="4" t="s">
        <v>123</v>
      </c>
      <c r="B82" s="7">
        <v>46087</v>
      </c>
      <c r="C82" t="s">
        <v>11</v>
      </c>
      <c r="D82" t="s">
        <v>36</v>
      </c>
      <c r="E82" t="s">
        <v>37</v>
      </c>
      <c r="F82" t="s">
        <v>30</v>
      </c>
      <c r="G82" s="9">
        <v>2</v>
      </c>
      <c r="H82" s="11">
        <v>24</v>
      </c>
      <c r="I82" s="13">
        <v>0</v>
      </c>
      <c r="J82" s="11">
        <v>48</v>
      </c>
      <c r="K82" s="11">
        <v>27.36</v>
      </c>
      <c r="L82" s="15">
        <v>20.64</v>
      </c>
    </row>
    <row r="83" spans="1:12">
      <c r="A83" s="4" t="s">
        <v>124</v>
      </c>
      <c r="B83" s="7">
        <v>46092</v>
      </c>
      <c r="C83" t="s">
        <v>9</v>
      </c>
      <c r="D83" t="s">
        <v>40</v>
      </c>
      <c r="E83" t="s">
        <v>41</v>
      </c>
      <c r="F83" t="s">
        <v>34</v>
      </c>
      <c r="G83" s="9">
        <v>9</v>
      </c>
      <c r="H83" s="11">
        <v>35</v>
      </c>
      <c r="I83" s="13">
        <v>0</v>
      </c>
      <c r="J83" s="11">
        <v>315</v>
      </c>
      <c r="K83" s="11">
        <v>195.3</v>
      </c>
      <c r="L83" s="15">
        <v>119.7</v>
      </c>
    </row>
    <row r="84" spans="1:12">
      <c r="A84" s="4" t="s">
        <v>125</v>
      </c>
      <c r="B84" s="7">
        <v>46097</v>
      </c>
      <c r="C84" t="s">
        <v>15</v>
      </c>
      <c r="D84" t="s">
        <v>44</v>
      </c>
      <c r="E84" t="s">
        <v>29</v>
      </c>
      <c r="F84" t="s">
        <v>38</v>
      </c>
      <c r="G84" s="9">
        <v>7</v>
      </c>
      <c r="H84" s="11">
        <v>46</v>
      </c>
      <c r="I84" s="13">
        <v>0</v>
      </c>
      <c r="J84" s="11">
        <v>322</v>
      </c>
      <c r="K84" s="11">
        <v>215.74</v>
      </c>
      <c r="L84" s="15">
        <v>106.26</v>
      </c>
    </row>
    <row r="85" spans="1:12">
      <c r="A85" s="4" t="s">
        <v>126</v>
      </c>
      <c r="B85" s="7">
        <v>46102</v>
      </c>
      <c r="C85" t="s">
        <v>13</v>
      </c>
      <c r="D85" t="s">
        <v>47</v>
      </c>
      <c r="E85" t="s">
        <v>33</v>
      </c>
      <c r="F85" t="s">
        <v>42</v>
      </c>
      <c r="G85" s="9">
        <v>5</v>
      </c>
      <c r="H85" s="11">
        <v>57</v>
      </c>
      <c r="I85" s="13">
        <v>0</v>
      </c>
      <c r="J85" s="11">
        <v>285</v>
      </c>
      <c r="K85" s="11">
        <v>148.19999999999999</v>
      </c>
      <c r="L85" s="15">
        <v>136.80000000000001</v>
      </c>
    </row>
    <row r="86" spans="1:12">
      <c r="A86" s="4" t="s">
        <v>127</v>
      </c>
      <c r="B86" s="7">
        <v>46107</v>
      </c>
      <c r="C86" t="s">
        <v>11</v>
      </c>
      <c r="D86" t="s">
        <v>28</v>
      </c>
      <c r="E86" t="s">
        <v>29</v>
      </c>
      <c r="F86" t="s">
        <v>45</v>
      </c>
      <c r="G86" s="9">
        <v>3</v>
      </c>
      <c r="H86" s="11">
        <v>13</v>
      </c>
      <c r="I86" s="13">
        <v>0</v>
      </c>
      <c r="J86" s="11">
        <v>39</v>
      </c>
      <c r="K86" s="11">
        <v>22.23</v>
      </c>
      <c r="L86" s="15">
        <v>16.77</v>
      </c>
    </row>
    <row r="87" spans="1:12">
      <c r="A87" s="4" t="s">
        <v>128</v>
      </c>
      <c r="B87" s="7">
        <v>46085</v>
      </c>
      <c r="C87" t="s">
        <v>9</v>
      </c>
      <c r="D87" t="s">
        <v>32</v>
      </c>
      <c r="E87" t="s">
        <v>33</v>
      </c>
      <c r="F87" t="s">
        <v>48</v>
      </c>
      <c r="G87" s="9">
        <v>1</v>
      </c>
      <c r="H87" s="11">
        <v>24</v>
      </c>
      <c r="I87" s="13">
        <v>0.1</v>
      </c>
      <c r="J87" s="11">
        <v>21.6</v>
      </c>
      <c r="K87" s="11">
        <v>13.39</v>
      </c>
      <c r="L87" s="15">
        <v>8.2100000000000009</v>
      </c>
    </row>
    <row r="88" spans="1:12">
      <c r="A88" s="4" t="s">
        <v>129</v>
      </c>
      <c r="B88" s="7">
        <v>46090</v>
      </c>
      <c r="C88" t="s">
        <v>15</v>
      </c>
      <c r="D88" t="s">
        <v>36</v>
      </c>
      <c r="E88" t="s">
        <v>37</v>
      </c>
      <c r="F88" t="s">
        <v>30</v>
      </c>
      <c r="G88" s="9">
        <v>8</v>
      </c>
      <c r="H88" s="11">
        <v>35</v>
      </c>
      <c r="I88" s="13">
        <v>0</v>
      </c>
      <c r="J88" s="11">
        <v>280</v>
      </c>
      <c r="K88" s="11">
        <v>187.6</v>
      </c>
      <c r="L88" s="15">
        <v>92.4</v>
      </c>
    </row>
    <row r="89" spans="1:12">
      <c r="A89" s="4" t="s">
        <v>130</v>
      </c>
      <c r="B89" s="7">
        <v>46095</v>
      </c>
      <c r="C89" t="s">
        <v>13</v>
      </c>
      <c r="D89" t="s">
        <v>40</v>
      </c>
      <c r="E89" t="s">
        <v>41</v>
      </c>
      <c r="F89" t="s">
        <v>34</v>
      </c>
      <c r="G89" s="9">
        <v>6</v>
      </c>
      <c r="H89" s="11">
        <v>46</v>
      </c>
      <c r="I89" s="13">
        <v>0</v>
      </c>
      <c r="J89" s="11">
        <v>276</v>
      </c>
      <c r="K89" s="11">
        <v>143.52000000000001</v>
      </c>
      <c r="L89" s="15">
        <v>132.47999999999999</v>
      </c>
    </row>
    <row r="90" spans="1:12">
      <c r="A90" s="4" t="s">
        <v>131</v>
      </c>
      <c r="B90" s="7">
        <v>46100</v>
      </c>
      <c r="C90" t="s">
        <v>11</v>
      </c>
      <c r="D90" t="s">
        <v>44</v>
      </c>
      <c r="E90" t="s">
        <v>29</v>
      </c>
      <c r="F90" t="s">
        <v>38</v>
      </c>
      <c r="G90" s="9">
        <v>4</v>
      </c>
      <c r="H90" s="11">
        <v>57</v>
      </c>
      <c r="I90" s="13">
        <v>0</v>
      </c>
      <c r="J90" s="11">
        <v>228</v>
      </c>
      <c r="K90" s="11">
        <v>129.96</v>
      </c>
      <c r="L90" s="15">
        <v>98.04</v>
      </c>
    </row>
    <row r="91" spans="1:12">
      <c r="A91" s="4" t="s">
        <v>132</v>
      </c>
      <c r="B91" s="7">
        <v>46105</v>
      </c>
      <c r="C91" t="s">
        <v>9</v>
      </c>
      <c r="D91" t="s">
        <v>47</v>
      </c>
      <c r="E91" t="s">
        <v>33</v>
      </c>
      <c r="F91" t="s">
        <v>42</v>
      </c>
      <c r="G91" s="9">
        <v>2</v>
      </c>
      <c r="H91" s="11">
        <v>13</v>
      </c>
      <c r="I91" s="13">
        <v>0.05</v>
      </c>
      <c r="J91" s="11">
        <v>24.7</v>
      </c>
      <c r="K91" s="11">
        <v>15.31</v>
      </c>
      <c r="L91" s="15">
        <v>9.39</v>
      </c>
    </row>
    <row r="92" spans="1:12">
      <c r="A92" s="4" t="s">
        <v>133</v>
      </c>
      <c r="B92" s="7">
        <v>46083</v>
      </c>
      <c r="C92" t="s">
        <v>15</v>
      </c>
      <c r="D92" t="s">
        <v>28</v>
      </c>
      <c r="E92" t="s">
        <v>29</v>
      </c>
      <c r="F92" t="s">
        <v>45</v>
      </c>
      <c r="G92" s="9">
        <v>9</v>
      </c>
      <c r="H92" s="11">
        <v>24</v>
      </c>
      <c r="I92" s="13">
        <v>0</v>
      </c>
      <c r="J92" s="11">
        <v>216</v>
      </c>
      <c r="K92" s="11">
        <v>144.72</v>
      </c>
      <c r="L92" s="15">
        <v>71.28</v>
      </c>
    </row>
    <row r="93" spans="1:12">
      <c r="A93" s="4" t="s">
        <v>134</v>
      </c>
      <c r="B93" s="7">
        <v>46088</v>
      </c>
      <c r="C93" t="s">
        <v>13</v>
      </c>
      <c r="D93" t="s">
        <v>32</v>
      </c>
      <c r="E93" t="s">
        <v>33</v>
      </c>
      <c r="F93" t="s">
        <v>48</v>
      </c>
      <c r="G93" s="9">
        <v>7</v>
      </c>
      <c r="H93" s="11">
        <v>35</v>
      </c>
      <c r="I93" s="13">
        <v>0.1</v>
      </c>
      <c r="J93" s="11">
        <v>220.5</v>
      </c>
      <c r="K93" s="11">
        <v>114.66</v>
      </c>
      <c r="L93" s="15">
        <v>105.84</v>
      </c>
    </row>
    <row r="94" spans="1:12">
      <c r="A94" s="4" t="s">
        <v>135</v>
      </c>
      <c r="B94" s="7">
        <v>46093</v>
      </c>
      <c r="C94" t="s">
        <v>11</v>
      </c>
      <c r="D94" t="s">
        <v>36</v>
      </c>
      <c r="E94" t="s">
        <v>37</v>
      </c>
      <c r="F94" t="s">
        <v>30</v>
      </c>
      <c r="G94" s="9">
        <v>5</v>
      </c>
      <c r="H94" s="11">
        <v>46</v>
      </c>
      <c r="I94" s="13">
        <v>0</v>
      </c>
      <c r="J94" s="11">
        <v>230</v>
      </c>
      <c r="K94" s="11">
        <v>131.1</v>
      </c>
      <c r="L94" s="15">
        <v>98.9</v>
      </c>
    </row>
    <row r="95" spans="1:12">
      <c r="A95" s="4" t="s">
        <v>136</v>
      </c>
      <c r="B95" s="7">
        <v>46098</v>
      </c>
      <c r="C95" t="s">
        <v>9</v>
      </c>
      <c r="D95" t="s">
        <v>40</v>
      </c>
      <c r="E95" t="s">
        <v>41</v>
      </c>
      <c r="F95" t="s">
        <v>34</v>
      </c>
      <c r="G95" s="9">
        <v>3</v>
      </c>
      <c r="H95" s="11">
        <v>57</v>
      </c>
      <c r="I95" s="13">
        <v>0</v>
      </c>
      <c r="J95" s="11">
        <v>171</v>
      </c>
      <c r="K95" s="11">
        <v>106.02</v>
      </c>
      <c r="L95" s="15">
        <v>64.98</v>
      </c>
    </row>
    <row r="96" spans="1:12">
      <c r="A96" s="4" t="s">
        <v>137</v>
      </c>
      <c r="B96" s="7">
        <v>46103</v>
      </c>
      <c r="C96" t="s">
        <v>15</v>
      </c>
      <c r="D96" t="s">
        <v>44</v>
      </c>
      <c r="E96" t="s">
        <v>29</v>
      </c>
      <c r="F96" t="s">
        <v>38</v>
      </c>
      <c r="G96" s="9">
        <v>1</v>
      </c>
      <c r="H96" s="11">
        <v>13</v>
      </c>
      <c r="I96" s="13">
        <v>0</v>
      </c>
      <c r="J96" s="11">
        <v>13</v>
      </c>
      <c r="K96" s="11">
        <v>8.7100000000000009</v>
      </c>
      <c r="L96" s="15">
        <v>4.29</v>
      </c>
    </row>
    <row r="97" spans="1:12">
      <c r="A97" s="4" t="s">
        <v>138</v>
      </c>
      <c r="B97" s="7">
        <v>46108</v>
      </c>
      <c r="C97" t="s">
        <v>13</v>
      </c>
      <c r="D97" t="s">
        <v>47</v>
      </c>
      <c r="E97" t="s">
        <v>33</v>
      </c>
      <c r="F97" t="s">
        <v>42</v>
      </c>
      <c r="G97" s="9">
        <v>8</v>
      </c>
      <c r="H97" s="11">
        <v>24</v>
      </c>
      <c r="I97" s="13">
        <v>0</v>
      </c>
      <c r="J97" s="11">
        <v>192</v>
      </c>
      <c r="K97" s="11">
        <v>99.84</v>
      </c>
      <c r="L97" s="15">
        <v>92.16</v>
      </c>
    </row>
    <row r="98" spans="1:12">
      <c r="A98" s="4" t="s">
        <v>139</v>
      </c>
      <c r="B98" s="7">
        <v>46086</v>
      </c>
      <c r="C98" t="s">
        <v>11</v>
      </c>
      <c r="D98" t="s">
        <v>28</v>
      </c>
      <c r="E98" t="s">
        <v>29</v>
      </c>
      <c r="F98" t="s">
        <v>45</v>
      </c>
      <c r="G98" s="9">
        <v>6</v>
      </c>
      <c r="H98" s="11">
        <v>35</v>
      </c>
      <c r="I98" s="13">
        <v>0</v>
      </c>
      <c r="J98" s="11">
        <v>210</v>
      </c>
      <c r="K98" s="11">
        <v>119.7</v>
      </c>
      <c r="L98" s="15">
        <v>90.3</v>
      </c>
    </row>
    <row r="99" spans="1:12">
      <c r="A99" s="4" t="s">
        <v>140</v>
      </c>
      <c r="B99" s="7">
        <v>46091</v>
      </c>
      <c r="C99" t="s">
        <v>9</v>
      </c>
      <c r="D99" t="s">
        <v>32</v>
      </c>
      <c r="E99" t="s">
        <v>33</v>
      </c>
      <c r="F99" t="s">
        <v>48</v>
      </c>
      <c r="G99" s="9">
        <v>4</v>
      </c>
      <c r="H99" s="11">
        <v>46</v>
      </c>
      <c r="I99" s="13">
        <v>0.1</v>
      </c>
      <c r="J99" s="11">
        <v>165.6</v>
      </c>
      <c r="K99" s="11">
        <v>102.67</v>
      </c>
      <c r="L99" s="15">
        <v>62.93</v>
      </c>
    </row>
    <row r="100" spans="1:12">
      <c r="A100" s="4" t="s">
        <v>141</v>
      </c>
      <c r="B100" s="7">
        <v>46096</v>
      </c>
      <c r="C100" t="s">
        <v>15</v>
      </c>
      <c r="D100" t="s">
        <v>36</v>
      </c>
      <c r="E100" t="s">
        <v>37</v>
      </c>
      <c r="F100" t="s">
        <v>30</v>
      </c>
      <c r="G100" s="9">
        <v>2</v>
      </c>
      <c r="H100" s="11">
        <v>57</v>
      </c>
      <c r="I100" s="13">
        <v>0</v>
      </c>
      <c r="J100" s="11">
        <v>114</v>
      </c>
      <c r="K100" s="11">
        <v>76.38</v>
      </c>
      <c r="L100" s="15">
        <v>37.619999999999997</v>
      </c>
    </row>
    <row r="101" spans="1:12">
      <c r="A101" s="4" t="s">
        <v>142</v>
      </c>
      <c r="B101" s="7">
        <v>46101</v>
      </c>
      <c r="C101" t="s">
        <v>13</v>
      </c>
      <c r="D101" t="s">
        <v>40</v>
      </c>
      <c r="E101" t="s">
        <v>41</v>
      </c>
      <c r="F101" t="s">
        <v>34</v>
      </c>
      <c r="G101" s="9">
        <v>9</v>
      </c>
      <c r="H101" s="11">
        <v>13</v>
      </c>
      <c r="I101" s="13">
        <v>0</v>
      </c>
      <c r="J101" s="11">
        <v>117</v>
      </c>
      <c r="K101" s="11">
        <v>60.84</v>
      </c>
      <c r="L101" s="15">
        <v>56.16</v>
      </c>
    </row>
    <row r="102" spans="1:12">
      <c r="A102" s="4" t="s">
        <v>143</v>
      </c>
      <c r="B102" s="7">
        <v>46106</v>
      </c>
      <c r="C102" t="s">
        <v>11</v>
      </c>
      <c r="D102" t="s">
        <v>44</v>
      </c>
      <c r="E102" t="s">
        <v>29</v>
      </c>
      <c r="F102" t="s">
        <v>38</v>
      </c>
      <c r="G102" s="9">
        <v>7</v>
      </c>
      <c r="H102" s="11">
        <v>24</v>
      </c>
      <c r="I102" s="13">
        <v>0.05</v>
      </c>
      <c r="J102" s="11">
        <v>159.6</v>
      </c>
      <c r="K102" s="11">
        <v>90.97</v>
      </c>
      <c r="L102" s="15">
        <v>68.63</v>
      </c>
    </row>
    <row r="103" spans="1:12">
      <c r="A103" s="4" t="s">
        <v>144</v>
      </c>
      <c r="B103" s="7">
        <v>46084</v>
      </c>
      <c r="C103" t="s">
        <v>9</v>
      </c>
      <c r="D103" t="s">
        <v>47</v>
      </c>
      <c r="E103" t="s">
        <v>33</v>
      </c>
      <c r="F103" t="s">
        <v>42</v>
      </c>
      <c r="G103" s="9">
        <v>5</v>
      </c>
      <c r="H103" s="11">
        <v>35</v>
      </c>
      <c r="I103" s="13">
        <v>0</v>
      </c>
      <c r="J103" s="11">
        <v>175</v>
      </c>
      <c r="K103" s="11">
        <v>108.5</v>
      </c>
      <c r="L103" s="15">
        <v>66.5</v>
      </c>
    </row>
    <row r="104" spans="1:12">
      <c r="A104" s="4" t="s">
        <v>145</v>
      </c>
      <c r="B104" s="7">
        <v>46089</v>
      </c>
      <c r="C104" t="s">
        <v>15</v>
      </c>
      <c r="D104" t="s">
        <v>28</v>
      </c>
      <c r="E104" t="s">
        <v>29</v>
      </c>
      <c r="F104" t="s">
        <v>45</v>
      </c>
      <c r="G104" s="9">
        <v>3</v>
      </c>
      <c r="H104" s="11">
        <v>46</v>
      </c>
      <c r="I104" s="13">
        <v>0</v>
      </c>
      <c r="J104" s="11">
        <v>138</v>
      </c>
      <c r="K104" s="11">
        <v>92.46</v>
      </c>
      <c r="L104" s="15">
        <v>45.54</v>
      </c>
    </row>
    <row r="105" spans="1:12">
      <c r="A105" s="4" t="s">
        <v>146</v>
      </c>
      <c r="B105" s="7">
        <v>46094</v>
      </c>
      <c r="C105" t="s">
        <v>13</v>
      </c>
      <c r="D105" t="s">
        <v>32</v>
      </c>
      <c r="E105" t="s">
        <v>33</v>
      </c>
      <c r="F105" t="s">
        <v>48</v>
      </c>
      <c r="G105" s="9">
        <v>1</v>
      </c>
      <c r="H105" s="11">
        <v>57</v>
      </c>
      <c r="I105" s="13">
        <v>0.1</v>
      </c>
      <c r="J105" s="11">
        <v>51.3</v>
      </c>
      <c r="K105" s="11">
        <v>26.68</v>
      </c>
      <c r="L105" s="15">
        <v>24.62</v>
      </c>
    </row>
    <row r="106" spans="1:12">
      <c r="A106" s="4" t="s">
        <v>147</v>
      </c>
      <c r="B106" s="7">
        <v>46099</v>
      </c>
      <c r="C106" t="s">
        <v>11</v>
      </c>
      <c r="D106" t="s">
        <v>36</v>
      </c>
      <c r="E106" t="s">
        <v>37</v>
      </c>
      <c r="F106" t="s">
        <v>30</v>
      </c>
      <c r="G106" s="9">
        <v>8</v>
      </c>
      <c r="H106" s="11">
        <v>13</v>
      </c>
      <c r="I106" s="13">
        <v>0</v>
      </c>
      <c r="J106" s="11">
        <v>104</v>
      </c>
      <c r="K106" s="11">
        <v>59.28</v>
      </c>
      <c r="L106" s="15">
        <v>44.72</v>
      </c>
    </row>
    <row r="107" spans="1:12">
      <c r="A107" s="4" t="s">
        <v>148</v>
      </c>
      <c r="B107" s="7">
        <v>46125</v>
      </c>
      <c r="C107" t="s">
        <v>9</v>
      </c>
      <c r="D107" t="s">
        <v>28</v>
      </c>
      <c r="E107" t="s">
        <v>29</v>
      </c>
      <c r="F107" t="s">
        <v>42</v>
      </c>
      <c r="G107" s="9">
        <v>5</v>
      </c>
      <c r="H107" s="11">
        <v>28</v>
      </c>
      <c r="I107" s="13">
        <v>0</v>
      </c>
      <c r="J107" s="11">
        <v>140</v>
      </c>
      <c r="K107" s="11">
        <v>72.8</v>
      </c>
      <c r="L107" s="15">
        <v>67.2</v>
      </c>
    </row>
    <row r="108" spans="1:12">
      <c r="A108" s="4" t="s">
        <v>149</v>
      </c>
      <c r="B108" s="7">
        <v>46130</v>
      </c>
      <c r="C108" t="s">
        <v>15</v>
      </c>
      <c r="D108" t="s">
        <v>32</v>
      </c>
      <c r="E108" t="s">
        <v>33</v>
      </c>
      <c r="F108" t="s">
        <v>45</v>
      </c>
      <c r="G108" s="9">
        <v>3</v>
      </c>
      <c r="H108" s="11">
        <v>39</v>
      </c>
      <c r="I108" s="13">
        <v>0</v>
      </c>
      <c r="J108" s="11">
        <v>117</v>
      </c>
      <c r="K108" s="11">
        <v>66.69</v>
      </c>
      <c r="L108" s="15">
        <v>50.31</v>
      </c>
    </row>
    <row r="109" spans="1:12">
      <c r="A109" s="4" t="s">
        <v>150</v>
      </c>
      <c r="B109" s="7">
        <v>46135</v>
      </c>
      <c r="C109" t="s">
        <v>13</v>
      </c>
      <c r="D109" t="s">
        <v>36</v>
      </c>
      <c r="E109" t="s">
        <v>37</v>
      </c>
      <c r="F109" t="s">
        <v>48</v>
      </c>
      <c r="G109" s="9">
        <v>1</v>
      </c>
      <c r="H109" s="11">
        <v>50</v>
      </c>
      <c r="I109" s="13">
        <v>0.1</v>
      </c>
      <c r="J109" s="11">
        <v>45</v>
      </c>
      <c r="K109" s="11">
        <v>27.9</v>
      </c>
      <c r="L109" s="15">
        <v>17.100000000000001</v>
      </c>
    </row>
    <row r="110" spans="1:12">
      <c r="A110" s="4" t="s">
        <v>151</v>
      </c>
      <c r="B110" s="7">
        <v>46113</v>
      </c>
      <c r="C110" t="s">
        <v>11</v>
      </c>
      <c r="D110" t="s">
        <v>40</v>
      </c>
      <c r="E110" t="s">
        <v>41</v>
      </c>
      <c r="F110" t="s">
        <v>30</v>
      </c>
      <c r="G110" s="9">
        <v>8</v>
      </c>
      <c r="H110" s="11">
        <v>61</v>
      </c>
      <c r="I110" s="13">
        <v>0</v>
      </c>
      <c r="J110" s="11">
        <v>488</v>
      </c>
      <c r="K110" s="11">
        <v>326.95999999999998</v>
      </c>
      <c r="L110" s="15">
        <v>161.04</v>
      </c>
    </row>
    <row r="111" spans="1:12">
      <c r="A111" s="4" t="s">
        <v>152</v>
      </c>
      <c r="B111" s="7">
        <v>46118</v>
      </c>
      <c r="C111" t="s">
        <v>9</v>
      </c>
      <c r="D111" t="s">
        <v>44</v>
      </c>
      <c r="E111" t="s">
        <v>29</v>
      </c>
      <c r="F111" t="s">
        <v>34</v>
      </c>
      <c r="G111" s="9">
        <v>6</v>
      </c>
      <c r="H111" s="11">
        <v>17</v>
      </c>
      <c r="I111" s="13">
        <v>0</v>
      </c>
      <c r="J111" s="11">
        <v>102</v>
      </c>
      <c r="K111" s="11">
        <v>53.04</v>
      </c>
      <c r="L111" s="15">
        <v>48.96</v>
      </c>
    </row>
    <row r="112" spans="1:12">
      <c r="A112" s="4" t="s">
        <v>153</v>
      </c>
      <c r="B112" s="7">
        <v>46123</v>
      </c>
      <c r="C112" t="s">
        <v>15</v>
      </c>
      <c r="D112" t="s">
        <v>47</v>
      </c>
      <c r="E112" t="s">
        <v>33</v>
      </c>
      <c r="F112" t="s">
        <v>38</v>
      </c>
      <c r="G112" s="9">
        <v>4</v>
      </c>
      <c r="H112" s="11">
        <v>28</v>
      </c>
      <c r="I112" s="13">
        <v>0</v>
      </c>
      <c r="J112" s="11">
        <v>112</v>
      </c>
      <c r="K112" s="11">
        <v>63.84</v>
      </c>
      <c r="L112" s="15">
        <v>48.16</v>
      </c>
    </row>
    <row r="113" spans="1:12">
      <c r="A113" s="4" t="s">
        <v>154</v>
      </c>
      <c r="B113" s="7">
        <v>46128</v>
      </c>
      <c r="C113" t="s">
        <v>13</v>
      </c>
      <c r="D113" t="s">
        <v>28</v>
      </c>
      <c r="E113" t="s">
        <v>29</v>
      </c>
      <c r="F113" t="s">
        <v>42</v>
      </c>
      <c r="G113" s="9">
        <v>2</v>
      </c>
      <c r="H113" s="11">
        <v>39</v>
      </c>
      <c r="I113" s="13">
        <v>0</v>
      </c>
      <c r="J113" s="11">
        <v>78</v>
      </c>
      <c r="K113" s="11">
        <v>48.36</v>
      </c>
      <c r="L113" s="15">
        <v>29.64</v>
      </c>
    </row>
    <row r="114" spans="1:12">
      <c r="A114" s="4" t="s">
        <v>155</v>
      </c>
      <c r="B114" s="7">
        <v>46133</v>
      </c>
      <c r="C114" t="s">
        <v>11</v>
      </c>
      <c r="D114" t="s">
        <v>32</v>
      </c>
      <c r="E114" t="s">
        <v>33</v>
      </c>
      <c r="F114" t="s">
        <v>45</v>
      </c>
      <c r="G114" s="9">
        <v>9</v>
      </c>
      <c r="H114" s="11">
        <v>50</v>
      </c>
      <c r="I114" s="13">
        <v>0.05</v>
      </c>
      <c r="J114" s="11">
        <v>427.5</v>
      </c>
      <c r="K114" s="11">
        <v>286.43</v>
      </c>
      <c r="L114" s="15">
        <v>141.07</v>
      </c>
    </row>
    <row r="115" spans="1:12">
      <c r="A115" s="4" t="s">
        <v>156</v>
      </c>
      <c r="B115" s="7">
        <v>46138</v>
      </c>
      <c r="C115" t="s">
        <v>9</v>
      </c>
      <c r="D115" t="s">
        <v>36</v>
      </c>
      <c r="E115" t="s">
        <v>37</v>
      </c>
      <c r="F115" t="s">
        <v>48</v>
      </c>
      <c r="G115" s="9">
        <v>7</v>
      </c>
      <c r="H115" s="11">
        <v>61</v>
      </c>
      <c r="I115" s="13">
        <v>0.1</v>
      </c>
      <c r="J115" s="11">
        <v>384.3</v>
      </c>
      <c r="K115" s="11">
        <v>199.84</v>
      </c>
      <c r="L115" s="15">
        <v>184.46</v>
      </c>
    </row>
    <row r="116" spans="1:12">
      <c r="A116" s="4" t="s">
        <v>157</v>
      </c>
      <c r="B116" s="7">
        <v>46116</v>
      </c>
      <c r="C116" t="s">
        <v>15</v>
      </c>
      <c r="D116" t="s">
        <v>40</v>
      </c>
      <c r="E116" t="s">
        <v>41</v>
      </c>
      <c r="F116" t="s">
        <v>30</v>
      </c>
      <c r="G116" s="9">
        <v>5</v>
      </c>
      <c r="H116" s="11">
        <v>17</v>
      </c>
      <c r="I116" s="13">
        <v>0</v>
      </c>
      <c r="J116" s="11">
        <v>85</v>
      </c>
      <c r="K116" s="11">
        <v>48.45</v>
      </c>
      <c r="L116" s="15">
        <v>36.549999999999997</v>
      </c>
    </row>
    <row r="117" spans="1:12">
      <c r="A117" s="4" t="s">
        <v>158</v>
      </c>
      <c r="B117" s="7">
        <v>46121</v>
      </c>
      <c r="C117" t="s">
        <v>13</v>
      </c>
      <c r="D117" t="s">
        <v>44</v>
      </c>
      <c r="E117" t="s">
        <v>29</v>
      </c>
      <c r="F117" t="s">
        <v>34</v>
      </c>
      <c r="G117" s="9">
        <v>3</v>
      </c>
      <c r="H117" s="11">
        <v>28</v>
      </c>
      <c r="I117" s="13">
        <v>0</v>
      </c>
      <c r="J117" s="11">
        <v>84</v>
      </c>
      <c r="K117" s="11">
        <v>52.08</v>
      </c>
      <c r="L117" s="15">
        <v>31.92</v>
      </c>
    </row>
    <row r="118" spans="1:12">
      <c r="A118" s="4" t="s">
        <v>159</v>
      </c>
      <c r="B118" s="7">
        <v>46126</v>
      </c>
      <c r="C118" t="s">
        <v>11</v>
      </c>
      <c r="D118" t="s">
        <v>47</v>
      </c>
      <c r="E118" t="s">
        <v>33</v>
      </c>
      <c r="F118" t="s">
        <v>38</v>
      </c>
      <c r="G118" s="9">
        <v>1</v>
      </c>
      <c r="H118" s="11">
        <v>39</v>
      </c>
      <c r="I118" s="13">
        <v>0</v>
      </c>
      <c r="J118" s="11">
        <v>39</v>
      </c>
      <c r="K118" s="11">
        <v>26.13</v>
      </c>
      <c r="L118" s="15">
        <v>12.87</v>
      </c>
    </row>
    <row r="119" spans="1:12">
      <c r="A119" s="4" t="s">
        <v>160</v>
      </c>
      <c r="B119" s="7">
        <v>46131</v>
      </c>
      <c r="C119" t="s">
        <v>9</v>
      </c>
      <c r="D119" t="s">
        <v>28</v>
      </c>
      <c r="E119" t="s">
        <v>29</v>
      </c>
      <c r="F119" t="s">
        <v>42</v>
      </c>
      <c r="G119" s="9">
        <v>8</v>
      </c>
      <c r="H119" s="11">
        <v>50</v>
      </c>
      <c r="I119" s="13">
        <v>0</v>
      </c>
      <c r="J119" s="11">
        <v>400</v>
      </c>
      <c r="K119" s="11">
        <v>208</v>
      </c>
      <c r="L119" s="15">
        <v>192</v>
      </c>
    </row>
    <row r="120" spans="1:12">
      <c r="A120" s="4" t="s">
        <v>161</v>
      </c>
      <c r="B120" s="7">
        <v>46136</v>
      </c>
      <c r="C120" t="s">
        <v>15</v>
      </c>
      <c r="D120" t="s">
        <v>32</v>
      </c>
      <c r="E120" t="s">
        <v>33</v>
      </c>
      <c r="F120" t="s">
        <v>45</v>
      </c>
      <c r="G120" s="9">
        <v>6</v>
      </c>
      <c r="H120" s="11">
        <v>61</v>
      </c>
      <c r="I120" s="13">
        <v>0</v>
      </c>
      <c r="J120" s="11">
        <v>366</v>
      </c>
      <c r="K120" s="11">
        <v>208.62</v>
      </c>
      <c r="L120" s="15">
        <v>157.38</v>
      </c>
    </row>
    <row r="121" spans="1:12">
      <c r="A121" s="4" t="s">
        <v>162</v>
      </c>
      <c r="B121" s="7">
        <v>46114</v>
      </c>
      <c r="C121" t="s">
        <v>13</v>
      </c>
      <c r="D121" t="s">
        <v>36</v>
      </c>
      <c r="E121" t="s">
        <v>37</v>
      </c>
      <c r="F121" t="s">
        <v>48</v>
      </c>
      <c r="G121" s="9">
        <v>4</v>
      </c>
      <c r="H121" s="11">
        <v>17</v>
      </c>
      <c r="I121" s="13">
        <v>0.1</v>
      </c>
      <c r="J121" s="11">
        <v>61.2</v>
      </c>
      <c r="K121" s="11">
        <v>37.94</v>
      </c>
      <c r="L121" s="15">
        <v>23.26</v>
      </c>
    </row>
    <row r="122" spans="1:12">
      <c r="A122" s="4" t="s">
        <v>163</v>
      </c>
      <c r="B122" s="7">
        <v>46119</v>
      </c>
      <c r="C122" t="s">
        <v>11</v>
      </c>
      <c r="D122" t="s">
        <v>40</v>
      </c>
      <c r="E122" t="s">
        <v>41</v>
      </c>
      <c r="F122" t="s">
        <v>30</v>
      </c>
      <c r="G122" s="9">
        <v>2</v>
      </c>
      <c r="H122" s="11">
        <v>28</v>
      </c>
      <c r="I122" s="13">
        <v>0</v>
      </c>
      <c r="J122" s="11">
        <v>56</v>
      </c>
      <c r="K122" s="11">
        <v>37.520000000000003</v>
      </c>
      <c r="L122" s="15">
        <v>18.48</v>
      </c>
    </row>
    <row r="123" spans="1:12">
      <c r="A123" s="4" t="s">
        <v>164</v>
      </c>
      <c r="B123" s="7">
        <v>46124</v>
      </c>
      <c r="C123" t="s">
        <v>9</v>
      </c>
      <c r="D123" t="s">
        <v>44</v>
      </c>
      <c r="E123" t="s">
        <v>29</v>
      </c>
      <c r="F123" t="s">
        <v>34</v>
      </c>
      <c r="G123" s="9">
        <v>9</v>
      </c>
      <c r="H123" s="11">
        <v>39</v>
      </c>
      <c r="I123" s="13">
        <v>0</v>
      </c>
      <c r="J123" s="11">
        <v>351</v>
      </c>
      <c r="K123" s="11">
        <v>182.52</v>
      </c>
      <c r="L123" s="15">
        <v>168.48</v>
      </c>
    </row>
    <row r="124" spans="1:12">
      <c r="A124" s="4" t="s">
        <v>165</v>
      </c>
      <c r="B124" s="7">
        <v>46129</v>
      </c>
      <c r="C124" t="s">
        <v>15</v>
      </c>
      <c r="D124" t="s">
        <v>47</v>
      </c>
      <c r="E124" t="s">
        <v>33</v>
      </c>
      <c r="F124" t="s">
        <v>38</v>
      </c>
      <c r="G124" s="9">
        <v>7</v>
      </c>
      <c r="H124" s="11">
        <v>50</v>
      </c>
      <c r="I124" s="13">
        <v>0</v>
      </c>
      <c r="J124" s="11">
        <v>350</v>
      </c>
      <c r="K124" s="11">
        <v>199.5</v>
      </c>
      <c r="L124" s="15">
        <v>150.5</v>
      </c>
    </row>
    <row r="125" spans="1:12">
      <c r="A125" s="4" t="s">
        <v>166</v>
      </c>
      <c r="B125" s="7">
        <v>46134</v>
      </c>
      <c r="C125" t="s">
        <v>13</v>
      </c>
      <c r="D125" t="s">
        <v>28</v>
      </c>
      <c r="E125" t="s">
        <v>29</v>
      </c>
      <c r="F125" t="s">
        <v>42</v>
      </c>
      <c r="G125" s="9">
        <v>5</v>
      </c>
      <c r="H125" s="11">
        <v>61</v>
      </c>
      <c r="I125" s="13">
        <v>0.05</v>
      </c>
      <c r="J125" s="11">
        <v>289.75</v>
      </c>
      <c r="K125" s="11">
        <v>179.65</v>
      </c>
      <c r="L125" s="15">
        <v>110.1</v>
      </c>
    </row>
    <row r="126" spans="1:12">
      <c r="A126" s="4" t="s">
        <v>167</v>
      </c>
      <c r="B126" s="7">
        <v>46139</v>
      </c>
      <c r="C126" t="s">
        <v>11</v>
      </c>
      <c r="D126" t="s">
        <v>32</v>
      </c>
      <c r="E126" t="s">
        <v>33</v>
      </c>
      <c r="F126" t="s">
        <v>45</v>
      </c>
      <c r="G126" s="9">
        <v>3</v>
      </c>
      <c r="H126" s="11">
        <v>17</v>
      </c>
      <c r="I126" s="13">
        <v>0</v>
      </c>
      <c r="J126" s="11">
        <v>51</v>
      </c>
      <c r="K126" s="11">
        <v>34.17</v>
      </c>
      <c r="L126" s="15">
        <v>16.829999999999998</v>
      </c>
    </row>
    <row r="127" spans="1:12">
      <c r="A127" s="4" t="s">
        <v>168</v>
      </c>
      <c r="B127" s="7">
        <v>46117</v>
      </c>
      <c r="C127" t="s">
        <v>9</v>
      </c>
      <c r="D127" t="s">
        <v>36</v>
      </c>
      <c r="E127" t="s">
        <v>37</v>
      </c>
      <c r="F127" t="s">
        <v>48</v>
      </c>
      <c r="G127" s="9">
        <v>1</v>
      </c>
      <c r="H127" s="11">
        <v>28</v>
      </c>
      <c r="I127" s="13">
        <v>0.1</v>
      </c>
      <c r="J127" s="11">
        <v>25.2</v>
      </c>
      <c r="K127" s="11">
        <v>13.1</v>
      </c>
      <c r="L127" s="15">
        <v>12.1</v>
      </c>
    </row>
    <row r="128" spans="1:12">
      <c r="A128" s="4" t="s">
        <v>169</v>
      </c>
      <c r="B128" s="7">
        <v>46122</v>
      </c>
      <c r="C128" t="s">
        <v>15</v>
      </c>
      <c r="D128" t="s">
        <v>40</v>
      </c>
      <c r="E128" t="s">
        <v>41</v>
      </c>
      <c r="F128" t="s">
        <v>30</v>
      </c>
      <c r="G128" s="9">
        <v>8</v>
      </c>
      <c r="H128" s="11">
        <v>39</v>
      </c>
      <c r="I128" s="13">
        <v>0</v>
      </c>
      <c r="J128" s="11">
        <v>312</v>
      </c>
      <c r="K128" s="11">
        <v>177.84</v>
      </c>
      <c r="L128" s="15">
        <v>134.16</v>
      </c>
    </row>
    <row r="129" spans="1:12">
      <c r="A129" s="4" t="s">
        <v>170</v>
      </c>
      <c r="B129" s="7">
        <v>46127</v>
      </c>
      <c r="C129" t="s">
        <v>13</v>
      </c>
      <c r="D129" t="s">
        <v>44</v>
      </c>
      <c r="E129" t="s">
        <v>29</v>
      </c>
      <c r="F129" t="s">
        <v>34</v>
      </c>
      <c r="G129" s="9">
        <v>6</v>
      </c>
      <c r="H129" s="11">
        <v>50</v>
      </c>
      <c r="I129" s="13">
        <v>0</v>
      </c>
      <c r="J129" s="11">
        <v>300</v>
      </c>
      <c r="K129" s="11">
        <v>186</v>
      </c>
      <c r="L129" s="15">
        <v>114</v>
      </c>
    </row>
    <row r="130" spans="1:12">
      <c r="A130" s="4" t="s">
        <v>171</v>
      </c>
      <c r="B130" s="7">
        <v>46132</v>
      </c>
      <c r="C130" t="s">
        <v>11</v>
      </c>
      <c r="D130" t="s">
        <v>47</v>
      </c>
      <c r="E130" t="s">
        <v>33</v>
      </c>
      <c r="F130" t="s">
        <v>38</v>
      </c>
      <c r="G130" s="9">
        <v>4</v>
      </c>
      <c r="H130" s="11">
        <v>61</v>
      </c>
      <c r="I130" s="13">
        <v>0</v>
      </c>
      <c r="J130" s="11">
        <v>244</v>
      </c>
      <c r="K130" s="11">
        <v>163.47999999999999</v>
      </c>
      <c r="L130" s="15">
        <v>80.52</v>
      </c>
    </row>
    <row r="131" spans="1:12">
      <c r="A131" s="4" t="s">
        <v>172</v>
      </c>
      <c r="B131" s="7">
        <v>46137</v>
      </c>
      <c r="C131" t="s">
        <v>9</v>
      </c>
      <c r="D131" t="s">
        <v>28</v>
      </c>
      <c r="E131" t="s">
        <v>29</v>
      </c>
      <c r="F131" t="s">
        <v>42</v>
      </c>
      <c r="G131" s="9">
        <v>2</v>
      </c>
      <c r="H131" s="11">
        <v>17</v>
      </c>
      <c r="I131" s="13">
        <v>0</v>
      </c>
      <c r="J131" s="11">
        <v>34</v>
      </c>
      <c r="K131" s="11">
        <v>17.68</v>
      </c>
      <c r="L131" s="15">
        <v>16.32</v>
      </c>
    </row>
    <row r="132" spans="1:12">
      <c r="A132" s="4" t="s">
        <v>173</v>
      </c>
      <c r="B132" s="7">
        <v>46115</v>
      </c>
      <c r="C132" t="s">
        <v>15</v>
      </c>
      <c r="D132" t="s">
        <v>32</v>
      </c>
      <c r="E132" t="s">
        <v>33</v>
      </c>
      <c r="F132" t="s">
        <v>45</v>
      </c>
      <c r="G132" s="9">
        <v>9</v>
      </c>
      <c r="H132" s="11">
        <v>28</v>
      </c>
      <c r="I132" s="13">
        <v>0</v>
      </c>
      <c r="J132" s="11">
        <v>252</v>
      </c>
      <c r="K132" s="11">
        <v>143.63999999999999</v>
      </c>
      <c r="L132" s="15">
        <v>108.36</v>
      </c>
    </row>
    <row r="133" spans="1:12">
      <c r="A133" s="4" t="s">
        <v>174</v>
      </c>
      <c r="B133" s="7">
        <v>46120</v>
      </c>
      <c r="C133" t="s">
        <v>13</v>
      </c>
      <c r="D133" t="s">
        <v>36</v>
      </c>
      <c r="E133" t="s">
        <v>37</v>
      </c>
      <c r="F133" t="s">
        <v>48</v>
      </c>
      <c r="G133" s="9">
        <v>7</v>
      </c>
      <c r="H133" s="11">
        <v>39</v>
      </c>
      <c r="I133" s="13">
        <v>0.1</v>
      </c>
      <c r="J133" s="11">
        <v>245.7</v>
      </c>
      <c r="K133" s="11">
        <v>152.33000000000001</v>
      </c>
      <c r="L133" s="15">
        <v>93.37</v>
      </c>
    </row>
    <row r="134" spans="1:12">
      <c r="A134" s="4" t="s">
        <v>175</v>
      </c>
      <c r="B134" s="7">
        <v>46125</v>
      </c>
      <c r="C134" t="s">
        <v>11</v>
      </c>
      <c r="D134" t="s">
        <v>40</v>
      </c>
      <c r="E134" t="s">
        <v>41</v>
      </c>
      <c r="F134" t="s">
        <v>30</v>
      </c>
      <c r="G134" s="9">
        <v>5</v>
      </c>
      <c r="H134" s="11">
        <v>50</v>
      </c>
      <c r="I134" s="13">
        <v>0</v>
      </c>
      <c r="J134" s="11">
        <v>250</v>
      </c>
      <c r="K134" s="11">
        <v>167.5</v>
      </c>
      <c r="L134" s="15">
        <v>82.5</v>
      </c>
    </row>
    <row r="135" spans="1:12">
      <c r="A135" s="4" t="s">
        <v>176</v>
      </c>
      <c r="B135" s="7">
        <v>46130</v>
      </c>
      <c r="C135" t="s">
        <v>9</v>
      </c>
      <c r="D135" t="s">
        <v>44</v>
      </c>
      <c r="E135" t="s">
        <v>29</v>
      </c>
      <c r="F135" t="s">
        <v>34</v>
      </c>
      <c r="G135" s="9">
        <v>3</v>
      </c>
      <c r="H135" s="11">
        <v>61</v>
      </c>
      <c r="I135" s="13">
        <v>0</v>
      </c>
      <c r="J135" s="11">
        <v>183</v>
      </c>
      <c r="K135" s="11">
        <v>95.16</v>
      </c>
      <c r="L135" s="15">
        <v>87.84</v>
      </c>
    </row>
    <row r="136" spans="1:12">
      <c r="A136" s="4" t="s">
        <v>177</v>
      </c>
      <c r="B136" s="7">
        <v>46135</v>
      </c>
      <c r="C136" t="s">
        <v>15</v>
      </c>
      <c r="D136" t="s">
        <v>47</v>
      </c>
      <c r="E136" t="s">
        <v>33</v>
      </c>
      <c r="F136" t="s">
        <v>38</v>
      </c>
      <c r="G136" s="9">
        <v>1</v>
      </c>
      <c r="H136" s="11">
        <v>17</v>
      </c>
      <c r="I136" s="13">
        <v>0.05</v>
      </c>
      <c r="J136" s="11">
        <v>16.149999999999999</v>
      </c>
      <c r="K136" s="11">
        <v>9.2100000000000009</v>
      </c>
      <c r="L136" s="15">
        <v>6.94</v>
      </c>
    </row>
    <row r="137" spans="1:12">
      <c r="A137" s="4" t="s">
        <v>178</v>
      </c>
      <c r="B137" s="7">
        <v>46113</v>
      </c>
      <c r="C137" t="s">
        <v>13</v>
      </c>
      <c r="D137" t="s">
        <v>28</v>
      </c>
      <c r="E137" t="s">
        <v>29</v>
      </c>
      <c r="F137" t="s">
        <v>42</v>
      </c>
      <c r="G137" s="9">
        <v>8</v>
      </c>
      <c r="H137" s="11">
        <v>28</v>
      </c>
      <c r="I137" s="13">
        <v>0</v>
      </c>
      <c r="J137" s="11">
        <v>224</v>
      </c>
      <c r="K137" s="11">
        <v>138.88</v>
      </c>
      <c r="L137" s="15">
        <v>85.12</v>
      </c>
    </row>
    <row r="138" spans="1:12">
      <c r="A138" s="4" t="s">
        <v>179</v>
      </c>
      <c r="B138" s="7">
        <v>46118</v>
      </c>
      <c r="C138" t="s">
        <v>11</v>
      </c>
      <c r="D138" t="s">
        <v>32</v>
      </c>
      <c r="E138" t="s">
        <v>33</v>
      </c>
      <c r="F138" t="s">
        <v>45</v>
      </c>
      <c r="G138" s="9">
        <v>6</v>
      </c>
      <c r="H138" s="11">
        <v>39</v>
      </c>
      <c r="I138" s="13">
        <v>0</v>
      </c>
      <c r="J138" s="11">
        <v>234</v>
      </c>
      <c r="K138" s="11">
        <v>156.78</v>
      </c>
      <c r="L138" s="15">
        <v>77.22</v>
      </c>
    </row>
    <row r="139" spans="1:12">
      <c r="A139" s="4" t="s">
        <v>180</v>
      </c>
      <c r="B139" s="7">
        <v>46123</v>
      </c>
      <c r="C139" t="s">
        <v>9</v>
      </c>
      <c r="D139" t="s">
        <v>36</v>
      </c>
      <c r="E139" t="s">
        <v>37</v>
      </c>
      <c r="F139" t="s">
        <v>48</v>
      </c>
      <c r="G139" s="9">
        <v>4</v>
      </c>
      <c r="H139" s="11">
        <v>50</v>
      </c>
      <c r="I139" s="13">
        <v>0.1</v>
      </c>
      <c r="J139" s="11">
        <v>180</v>
      </c>
      <c r="K139" s="11">
        <v>93.6</v>
      </c>
      <c r="L139" s="15">
        <v>86.4</v>
      </c>
    </row>
    <row r="140" spans="1:12">
      <c r="A140" s="4" t="s">
        <v>181</v>
      </c>
      <c r="B140" s="7">
        <v>46128</v>
      </c>
      <c r="C140" t="s">
        <v>15</v>
      </c>
      <c r="D140" t="s">
        <v>40</v>
      </c>
      <c r="E140" t="s">
        <v>41</v>
      </c>
      <c r="F140" t="s">
        <v>30</v>
      </c>
      <c r="G140" s="9">
        <v>2</v>
      </c>
      <c r="H140" s="11">
        <v>61</v>
      </c>
      <c r="I140" s="13">
        <v>0</v>
      </c>
      <c r="J140" s="11">
        <v>122</v>
      </c>
      <c r="K140" s="11">
        <v>69.540000000000006</v>
      </c>
      <c r="L140" s="15">
        <v>52.46</v>
      </c>
    </row>
    <row r="141" spans="1:12">
      <c r="A141" s="4" t="s">
        <v>182</v>
      </c>
      <c r="B141" s="7">
        <v>46133</v>
      </c>
      <c r="C141" t="s">
        <v>13</v>
      </c>
      <c r="D141" t="s">
        <v>44</v>
      </c>
      <c r="E141" t="s">
        <v>29</v>
      </c>
      <c r="F141" t="s">
        <v>34</v>
      </c>
      <c r="G141" s="9">
        <v>9</v>
      </c>
      <c r="H141" s="11">
        <v>17</v>
      </c>
      <c r="I141" s="13">
        <v>0</v>
      </c>
      <c r="J141" s="11">
        <v>153</v>
      </c>
      <c r="K141" s="11">
        <v>94.86</v>
      </c>
      <c r="L141" s="15">
        <v>58.14</v>
      </c>
    </row>
    <row r="142" spans="1:12">
      <c r="A142" s="4" t="s">
        <v>183</v>
      </c>
      <c r="B142" s="7">
        <v>46158</v>
      </c>
      <c r="C142" t="s">
        <v>11</v>
      </c>
      <c r="D142" t="s">
        <v>36</v>
      </c>
      <c r="E142" t="s">
        <v>37</v>
      </c>
      <c r="F142" t="s">
        <v>45</v>
      </c>
      <c r="G142" s="9">
        <v>6</v>
      </c>
      <c r="H142" s="11">
        <v>32</v>
      </c>
      <c r="I142" s="13">
        <v>0</v>
      </c>
      <c r="J142" s="11">
        <v>192</v>
      </c>
      <c r="K142" s="11">
        <v>109.44</v>
      </c>
      <c r="L142" s="15">
        <v>82.56</v>
      </c>
    </row>
    <row r="143" spans="1:12">
      <c r="A143" s="4" t="s">
        <v>184</v>
      </c>
      <c r="B143" s="7">
        <v>46163</v>
      </c>
      <c r="C143" t="s">
        <v>9</v>
      </c>
      <c r="D143" t="s">
        <v>40</v>
      </c>
      <c r="E143" t="s">
        <v>41</v>
      </c>
      <c r="F143" t="s">
        <v>48</v>
      </c>
      <c r="G143" s="9">
        <v>4</v>
      </c>
      <c r="H143" s="11">
        <v>43</v>
      </c>
      <c r="I143" s="13">
        <v>0.1</v>
      </c>
      <c r="J143" s="11">
        <v>154.80000000000001</v>
      </c>
      <c r="K143" s="11">
        <v>95.98</v>
      </c>
      <c r="L143" s="15">
        <v>58.82</v>
      </c>
    </row>
    <row r="144" spans="1:12">
      <c r="A144" s="4" t="s">
        <v>185</v>
      </c>
      <c r="B144" s="7">
        <v>46168</v>
      </c>
      <c r="C144" t="s">
        <v>15</v>
      </c>
      <c r="D144" t="s">
        <v>44</v>
      </c>
      <c r="E144" t="s">
        <v>29</v>
      </c>
      <c r="F144" t="s">
        <v>30</v>
      </c>
      <c r="G144" s="9">
        <v>2</v>
      </c>
      <c r="H144" s="11">
        <v>54</v>
      </c>
      <c r="I144" s="13">
        <v>0</v>
      </c>
      <c r="J144" s="11">
        <v>108</v>
      </c>
      <c r="K144" s="11">
        <v>72.36</v>
      </c>
      <c r="L144" s="15">
        <v>35.64</v>
      </c>
    </row>
    <row r="145" spans="1:12">
      <c r="A145" s="4" t="s">
        <v>186</v>
      </c>
      <c r="B145" s="7">
        <v>46146</v>
      </c>
      <c r="C145" t="s">
        <v>13</v>
      </c>
      <c r="D145" t="s">
        <v>47</v>
      </c>
      <c r="E145" t="s">
        <v>33</v>
      </c>
      <c r="F145" t="s">
        <v>34</v>
      </c>
      <c r="G145" s="9">
        <v>9</v>
      </c>
      <c r="H145" s="11">
        <v>65</v>
      </c>
      <c r="I145" s="13">
        <v>0</v>
      </c>
      <c r="J145" s="11">
        <v>585</v>
      </c>
      <c r="K145" s="11">
        <v>304.2</v>
      </c>
      <c r="L145" s="15">
        <v>280.8</v>
      </c>
    </row>
    <row r="146" spans="1:12">
      <c r="A146" s="4" t="s">
        <v>187</v>
      </c>
      <c r="B146" s="7">
        <v>46151</v>
      </c>
      <c r="C146" t="s">
        <v>11</v>
      </c>
      <c r="D146" t="s">
        <v>28</v>
      </c>
      <c r="E146" t="s">
        <v>29</v>
      </c>
      <c r="F146" t="s">
        <v>38</v>
      </c>
      <c r="G146" s="9">
        <v>7</v>
      </c>
      <c r="H146" s="11">
        <v>21</v>
      </c>
      <c r="I146" s="13">
        <v>0</v>
      </c>
      <c r="J146" s="11">
        <v>147</v>
      </c>
      <c r="K146" s="11">
        <v>83.79</v>
      </c>
      <c r="L146" s="15">
        <v>63.21</v>
      </c>
    </row>
    <row r="147" spans="1:12">
      <c r="A147" s="4" t="s">
        <v>188</v>
      </c>
      <c r="B147" s="7">
        <v>46156</v>
      </c>
      <c r="C147" t="s">
        <v>9</v>
      </c>
      <c r="D147" t="s">
        <v>32</v>
      </c>
      <c r="E147" t="s">
        <v>33</v>
      </c>
      <c r="F147" t="s">
        <v>42</v>
      </c>
      <c r="G147" s="9">
        <v>5</v>
      </c>
      <c r="H147" s="11">
        <v>32</v>
      </c>
      <c r="I147" s="13">
        <v>0</v>
      </c>
      <c r="J147" s="11">
        <v>160</v>
      </c>
      <c r="K147" s="11">
        <v>99.2</v>
      </c>
      <c r="L147" s="15">
        <v>60.8</v>
      </c>
    </row>
    <row r="148" spans="1:12">
      <c r="A148" s="4" t="s">
        <v>189</v>
      </c>
      <c r="B148" s="7">
        <v>46161</v>
      </c>
      <c r="C148" t="s">
        <v>15</v>
      </c>
      <c r="D148" t="s">
        <v>36</v>
      </c>
      <c r="E148" t="s">
        <v>37</v>
      </c>
      <c r="F148" t="s">
        <v>45</v>
      </c>
      <c r="G148" s="9">
        <v>3</v>
      </c>
      <c r="H148" s="11">
        <v>43</v>
      </c>
      <c r="I148" s="13">
        <v>0.05</v>
      </c>
      <c r="J148" s="11">
        <v>122.55</v>
      </c>
      <c r="K148" s="11">
        <v>82.11</v>
      </c>
      <c r="L148" s="15">
        <v>40.44</v>
      </c>
    </row>
    <row r="149" spans="1:12">
      <c r="A149" s="4" t="s">
        <v>190</v>
      </c>
      <c r="B149" s="7">
        <v>46166</v>
      </c>
      <c r="C149" t="s">
        <v>13</v>
      </c>
      <c r="D149" t="s">
        <v>40</v>
      </c>
      <c r="E149" t="s">
        <v>41</v>
      </c>
      <c r="F149" t="s">
        <v>48</v>
      </c>
      <c r="G149" s="9">
        <v>1</v>
      </c>
      <c r="H149" s="11">
        <v>54</v>
      </c>
      <c r="I149" s="13">
        <v>0.1</v>
      </c>
      <c r="J149" s="11">
        <v>48.6</v>
      </c>
      <c r="K149" s="11">
        <v>25.27</v>
      </c>
      <c r="L149" s="15">
        <v>23.33</v>
      </c>
    </row>
    <row r="150" spans="1:12">
      <c r="A150" s="4" t="s">
        <v>191</v>
      </c>
      <c r="B150" s="7">
        <v>46144</v>
      </c>
      <c r="C150" t="s">
        <v>11</v>
      </c>
      <c r="D150" t="s">
        <v>44</v>
      </c>
      <c r="E150" t="s">
        <v>29</v>
      </c>
      <c r="F150" t="s">
        <v>30</v>
      </c>
      <c r="G150" s="9">
        <v>8</v>
      </c>
      <c r="H150" s="11">
        <v>65</v>
      </c>
      <c r="I150" s="13">
        <v>0</v>
      </c>
      <c r="J150" s="11">
        <v>520</v>
      </c>
      <c r="K150" s="11">
        <v>296.39999999999998</v>
      </c>
      <c r="L150" s="15">
        <v>223.6</v>
      </c>
    </row>
    <row r="151" spans="1:12">
      <c r="A151" s="4" t="s">
        <v>192</v>
      </c>
      <c r="B151" s="7">
        <v>46149</v>
      </c>
      <c r="C151" t="s">
        <v>9</v>
      </c>
      <c r="D151" t="s">
        <v>47</v>
      </c>
      <c r="E151" t="s">
        <v>33</v>
      </c>
      <c r="F151" t="s">
        <v>34</v>
      </c>
      <c r="G151" s="9">
        <v>6</v>
      </c>
      <c r="H151" s="11">
        <v>21</v>
      </c>
      <c r="I151" s="13">
        <v>0</v>
      </c>
      <c r="J151" s="11">
        <v>126</v>
      </c>
      <c r="K151" s="11">
        <v>78.12</v>
      </c>
      <c r="L151" s="15">
        <v>47.88</v>
      </c>
    </row>
    <row r="152" spans="1:12">
      <c r="A152" s="4" t="s">
        <v>193</v>
      </c>
      <c r="B152" s="7">
        <v>46154</v>
      </c>
      <c r="C152" t="s">
        <v>15</v>
      </c>
      <c r="D152" t="s">
        <v>28</v>
      </c>
      <c r="E152" t="s">
        <v>29</v>
      </c>
      <c r="F152" t="s">
        <v>38</v>
      </c>
      <c r="G152" s="9">
        <v>4</v>
      </c>
      <c r="H152" s="11">
        <v>32</v>
      </c>
      <c r="I152" s="13">
        <v>0</v>
      </c>
      <c r="J152" s="11">
        <v>128</v>
      </c>
      <c r="K152" s="11">
        <v>85.76</v>
      </c>
      <c r="L152" s="15">
        <v>42.24</v>
      </c>
    </row>
    <row r="153" spans="1:12">
      <c r="A153" s="4" t="s">
        <v>194</v>
      </c>
      <c r="B153" s="7">
        <v>46159</v>
      </c>
      <c r="C153" t="s">
        <v>13</v>
      </c>
      <c r="D153" t="s">
        <v>32</v>
      </c>
      <c r="E153" t="s">
        <v>33</v>
      </c>
      <c r="F153" t="s">
        <v>42</v>
      </c>
      <c r="G153" s="9">
        <v>2</v>
      </c>
      <c r="H153" s="11">
        <v>43</v>
      </c>
      <c r="I153" s="13">
        <v>0</v>
      </c>
      <c r="J153" s="11">
        <v>86</v>
      </c>
      <c r="K153" s="11">
        <v>44.72</v>
      </c>
      <c r="L153" s="15">
        <v>41.28</v>
      </c>
    </row>
    <row r="154" spans="1:12">
      <c r="A154" s="4" t="s">
        <v>195</v>
      </c>
      <c r="B154" s="7">
        <v>46164</v>
      </c>
      <c r="C154" t="s">
        <v>11</v>
      </c>
      <c r="D154" t="s">
        <v>36</v>
      </c>
      <c r="E154" t="s">
        <v>37</v>
      </c>
      <c r="F154" t="s">
        <v>45</v>
      </c>
      <c r="G154" s="9">
        <v>9</v>
      </c>
      <c r="H154" s="11">
        <v>54</v>
      </c>
      <c r="I154" s="13">
        <v>0</v>
      </c>
      <c r="J154" s="11">
        <v>486</v>
      </c>
      <c r="K154" s="11">
        <v>277.02</v>
      </c>
      <c r="L154" s="15">
        <v>208.98</v>
      </c>
    </row>
    <row r="155" spans="1:12">
      <c r="A155" s="4" t="s">
        <v>196</v>
      </c>
      <c r="B155" s="7">
        <v>46169</v>
      </c>
      <c r="C155" t="s">
        <v>9</v>
      </c>
      <c r="D155" t="s">
        <v>40</v>
      </c>
      <c r="E155" t="s">
        <v>41</v>
      </c>
      <c r="F155" t="s">
        <v>48</v>
      </c>
      <c r="G155" s="9">
        <v>7</v>
      </c>
      <c r="H155" s="11">
        <v>65</v>
      </c>
      <c r="I155" s="13">
        <v>0.1</v>
      </c>
      <c r="J155" s="11">
        <v>409.5</v>
      </c>
      <c r="K155" s="11">
        <v>253.89</v>
      </c>
      <c r="L155" s="15">
        <v>155.61000000000001</v>
      </c>
    </row>
    <row r="156" spans="1:12">
      <c r="A156" s="4" t="s">
        <v>197</v>
      </c>
      <c r="B156" s="7">
        <v>46147</v>
      </c>
      <c r="C156" t="s">
        <v>15</v>
      </c>
      <c r="D156" t="s">
        <v>44</v>
      </c>
      <c r="E156" t="s">
        <v>29</v>
      </c>
      <c r="F156" t="s">
        <v>30</v>
      </c>
      <c r="G156" s="9">
        <v>5</v>
      </c>
      <c r="H156" s="11">
        <v>21</v>
      </c>
      <c r="I156" s="13">
        <v>0</v>
      </c>
      <c r="J156" s="11">
        <v>105</v>
      </c>
      <c r="K156" s="11">
        <v>70.349999999999994</v>
      </c>
      <c r="L156" s="15">
        <v>34.65</v>
      </c>
    </row>
    <row r="157" spans="1:12">
      <c r="A157" s="4" t="s">
        <v>198</v>
      </c>
      <c r="B157" s="7">
        <v>46152</v>
      </c>
      <c r="C157" t="s">
        <v>13</v>
      </c>
      <c r="D157" t="s">
        <v>47</v>
      </c>
      <c r="E157" t="s">
        <v>33</v>
      </c>
      <c r="F157" t="s">
        <v>34</v>
      </c>
      <c r="G157" s="9">
        <v>3</v>
      </c>
      <c r="H157" s="11">
        <v>32</v>
      </c>
      <c r="I157" s="13">
        <v>0</v>
      </c>
      <c r="J157" s="11">
        <v>96</v>
      </c>
      <c r="K157" s="11">
        <v>49.92</v>
      </c>
      <c r="L157" s="15">
        <v>46.08</v>
      </c>
    </row>
    <row r="158" spans="1:12">
      <c r="A158" s="4" t="s">
        <v>199</v>
      </c>
      <c r="B158" s="7">
        <v>46157</v>
      </c>
      <c r="C158" t="s">
        <v>11</v>
      </c>
      <c r="D158" t="s">
        <v>28</v>
      </c>
      <c r="E158" t="s">
        <v>29</v>
      </c>
      <c r="F158" t="s">
        <v>38</v>
      </c>
      <c r="G158" s="9">
        <v>1</v>
      </c>
      <c r="H158" s="11">
        <v>43</v>
      </c>
      <c r="I158" s="13">
        <v>0</v>
      </c>
      <c r="J158" s="11">
        <v>43</v>
      </c>
      <c r="K158" s="11">
        <v>24.51</v>
      </c>
      <c r="L158" s="15">
        <v>18.489999999999998</v>
      </c>
    </row>
    <row r="159" spans="1:12">
      <c r="A159" s="4" t="s">
        <v>200</v>
      </c>
      <c r="B159" s="7">
        <v>46162</v>
      </c>
      <c r="C159" t="s">
        <v>9</v>
      </c>
      <c r="D159" t="s">
        <v>32</v>
      </c>
      <c r="E159" t="s">
        <v>33</v>
      </c>
      <c r="F159" t="s">
        <v>42</v>
      </c>
      <c r="G159" s="9">
        <v>8</v>
      </c>
      <c r="H159" s="11">
        <v>54</v>
      </c>
      <c r="I159" s="13">
        <v>0.05</v>
      </c>
      <c r="J159" s="11">
        <v>410.4</v>
      </c>
      <c r="K159" s="11">
        <v>254.45</v>
      </c>
      <c r="L159" s="15">
        <v>155.94999999999999</v>
      </c>
    </row>
    <row r="160" spans="1:12">
      <c r="A160" s="4" t="s">
        <v>201</v>
      </c>
      <c r="B160" s="7">
        <v>46167</v>
      </c>
      <c r="C160" t="s">
        <v>15</v>
      </c>
      <c r="D160" t="s">
        <v>36</v>
      </c>
      <c r="E160" t="s">
        <v>37</v>
      </c>
      <c r="F160" t="s">
        <v>45</v>
      </c>
      <c r="G160" s="9">
        <v>6</v>
      </c>
      <c r="H160" s="11">
        <v>65</v>
      </c>
      <c r="I160" s="13">
        <v>0</v>
      </c>
      <c r="J160" s="11">
        <v>390</v>
      </c>
      <c r="K160" s="11">
        <v>261.3</v>
      </c>
      <c r="L160" s="15">
        <v>128.69999999999999</v>
      </c>
    </row>
    <row r="161" spans="1:12">
      <c r="A161" s="4" t="s">
        <v>202</v>
      </c>
      <c r="B161" s="7">
        <v>46145</v>
      </c>
      <c r="C161" t="s">
        <v>13</v>
      </c>
      <c r="D161" t="s">
        <v>40</v>
      </c>
      <c r="E161" t="s">
        <v>41</v>
      </c>
      <c r="F161" t="s">
        <v>48</v>
      </c>
      <c r="G161" s="9">
        <v>4</v>
      </c>
      <c r="H161" s="11">
        <v>21</v>
      </c>
      <c r="I161" s="13">
        <v>0.1</v>
      </c>
      <c r="J161" s="11">
        <v>75.599999999999994</v>
      </c>
      <c r="K161" s="11">
        <v>39.31</v>
      </c>
      <c r="L161" s="15">
        <v>36.29</v>
      </c>
    </row>
    <row r="162" spans="1:12">
      <c r="A162" s="4" t="s">
        <v>203</v>
      </c>
      <c r="B162" s="7">
        <v>46150</v>
      </c>
      <c r="C162" t="s">
        <v>11</v>
      </c>
      <c r="D162" t="s">
        <v>44</v>
      </c>
      <c r="E162" t="s">
        <v>29</v>
      </c>
      <c r="F162" t="s">
        <v>30</v>
      </c>
      <c r="G162" s="9">
        <v>2</v>
      </c>
      <c r="H162" s="11">
        <v>32</v>
      </c>
      <c r="I162" s="13">
        <v>0</v>
      </c>
      <c r="J162" s="11">
        <v>64</v>
      </c>
      <c r="K162" s="11">
        <v>36.479999999999997</v>
      </c>
      <c r="L162" s="15">
        <v>27.52</v>
      </c>
    </row>
    <row r="163" spans="1:12">
      <c r="A163" s="4" t="s">
        <v>204</v>
      </c>
      <c r="B163" s="7">
        <v>46155</v>
      </c>
      <c r="C163" t="s">
        <v>9</v>
      </c>
      <c r="D163" t="s">
        <v>47</v>
      </c>
      <c r="E163" t="s">
        <v>33</v>
      </c>
      <c r="F163" t="s">
        <v>34</v>
      </c>
      <c r="G163" s="9">
        <v>9</v>
      </c>
      <c r="H163" s="11">
        <v>43</v>
      </c>
      <c r="I163" s="13">
        <v>0</v>
      </c>
      <c r="J163" s="11">
        <v>387</v>
      </c>
      <c r="K163" s="11">
        <v>239.94</v>
      </c>
      <c r="L163" s="15">
        <v>147.06</v>
      </c>
    </row>
    <row r="164" spans="1:12">
      <c r="A164" s="4" t="s">
        <v>205</v>
      </c>
      <c r="B164" s="7">
        <v>46160</v>
      </c>
      <c r="C164" t="s">
        <v>15</v>
      </c>
      <c r="D164" t="s">
        <v>28</v>
      </c>
      <c r="E164" t="s">
        <v>29</v>
      </c>
      <c r="F164" t="s">
        <v>38</v>
      </c>
      <c r="G164" s="9">
        <v>7</v>
      </c>
      <c r="H164" s="11">
        <v>54</v>
      </c>
      <c r="I164" s="13">
        <v>0</v>
      </c>
      <c r="J164" s="11">
        <v>378</v>
      </c>
      <c r="K164" s="11">
        <v>253.26</v>
      </c>
      <c r="L164" s="15">
        <v>124.74</v>
      </c>
    </row>
    <row r="165" spans="1:12">
      <c r="A165" s="4" t="s">
        <v>206</v>
      </c>
      <c r="B165" s="7">
        <v>46165</v>
      </c>
      <c r="C165" t="s">
        <v>13</v>
      </c>
      <c r="D165" t="s">
        <v>32</v>
      </c>
      <c r="E165" t="s">
        <v>33</v>
      </c>
      <c r="F165" t="s">
        <v>42</v>
      </c>
      <c r="G165" s="9">
        <v>5</v>
      </c>
      <c r="H165" s="11">
        <v>65</v>
      </c>
      <c r="I165" s="13">
        <v>0</v>
      </c>
      <c r="J165" s="11">
        <v>325</v>
      </c>
      <c r="K165" s="11">
        <v>169</v>
      </c>
      <c r="L165" s="15">
        <v>156</v>
      </c>
    </row>
    <row r="166" spans="1:12">
      <c r="A166" s="4" t="s">
        <v>207</v>
      </c>
      <c r="B166" s="7">
        <v>46143</v>
      </c>
      <c r="C166" t="s">
        <v>11</v>
      </c>
      <c r="D166" t="s">
        <v>36</v>
      </c>
      <c r="E166" t="s">
        <v>37</v>
      </c>
      <c r="F166" t="s">
        <v>45</v>
      </c>
      <c r="G166" s="9">
        <v>3</v>
      </c>
      <c r="H166" s="11">
        <v>21</v>
      </c>
      <c r="I166" s="13">
        <v>0</v>
      </c>
      <c r="J166" s="11">
        <v>63</v>
      </c>
      <c r="K166" s="11">
        <v>35.909999999999997</v>
      </c>
      <c r="L166" s="15">
        <v>27.09</v>
      </c>
    </row>
    <row r="167" spans="1:12">
      <c r="A167" s="4" t="s">
        <v>208</v>
      </c>
      <c r="B167" s="7">
        <v>46148</v>
      </c>
      <c r="C167" t="s">
        <v>9</v>
      </c>
      <c r="D167" t="s">
        <v>40</v>
      </c>
      <c r="E167" t="s">
        <v>41</v>
      </c>
      <c r="F167" t="s">
        <v>48</v>
      </c>
      <c r="G167" s="9">
        <v>1</v>
      </c>
      <c r="H167" s="11">
        <v>32</v>
      </c>
      <c r="I167" s="13">
        <v>0.1</v>
      </c>
      <c r="J167" s="11">
        <v>28.8</v>
      </c>
      <c r="K167" s="11">
        <v>17.86</v>
      </c>
      <c r="L167" s="15">
        <v>10.94</v>
      </c>
    </row>
    <row r="168" spans="1:12">
      <c r="A168" s="4" t="s">
        <v>209</v>
      </c>
      <c r="B168" s="7">
        <v>46153</v>
      </c>
      <c r="C168" t="s">
        <v>15</v>
      </c>
      <c r="D168" t="s">
        <v>44</v>
      </c>
      <c r="E168" t="s">
        <v>29</v>
      </c>
      <c r="F168" t="s">
        <v>30</v>
      </c>
      <c r="G168" s="9">
        <v>8</v>
      </c>
      <c r="H168" s="11">
        <v>43</v>
      </c>
      <c r="I168" s="13">
        <v>0</v>
      </c>
      <c r="J168" s="11">
        <v>344</v>
      </c>
      <c r="K168" s="11">
        <v>230.48</v>
      </c>
      <c r="L168" s="15">
        <v>113.52</v>
      </c>
    </row>
    <row r="169" spans="1:12">
      <c r="A169" s="4" t="s">
        <v>210</v>
      </c>
      <c r="B169" s="7">
        <v>46158</v>
      </c>
      <c r="C169" t="s">
        <v>13</v>
      </c>
      <c r="D169" t="s">
        <v>47</v>
      </c>
      <c r="E169" t="s">
        <v>33</v>
      </c>
      <c r="F169" t="s">
        <v>34</v>
      </c>
      <c r="G169" s="9">
        <v>6</v>
      </c>
      <c r="H169" s="11">
        <v>54</v>
      </c>
      <c r="I169" s="13">
        <v>0</v>
      </c>
      <c r="J169" s="11">
        <v>324</v>
      </c>
      <c r="K169" s="11">
        <v>168.48</v>
      </c>
      <c r="L169" s="15">
        <v>155.52000000000001</v>
      </c>
    </row>
    <row r="170" spans="1:12">
      <c r="A170" s="4" t="s">
        <v>211</v>
      </c>
      <c r="B170" s="7">
        <v>46163</v>
      </c>
      <c r="C170" t="s">
        <v>11</v>
      </c>
      <c r="D170" t="s">
        <v>28</v>
      </c>
      <c r="E170" t="s">
        <v>29</v>
      </c>
      <c r="F170" t="s">
        <v>38</v>
      </c>
      <c r="G170" s="9">
        <v>4</v>
      </c>
      <c r="H170" s="11">
        <v>65</v>
      </c>
      <c r="I170" s="13">
        <v>0.05</v>
      </c>
      <c r="J170" s="11">
        <v>247</v>
      </c>
      <c r="K170" s="11">
        <v>140.79</v>
      </c>
      <c r="L170" s="15">
        <v>106.21</v>
      </c>
    </row>
    <row r="171" spans="1:12">
      <c r="A171" s="4" t="s">
        <v>212</v>
      </c>
      <c r="B171" s="7">
        <v>46168</v>
      </c>
      <c r="C171" t="s">
        <v>9</v>
      </c>
      <c r="D171" t="s">
        <v>32</v>
      </c>
      <c r="E171" t="s">
        <v>33</v>
      </c>
      <c r="F171" t="s">
        <v>42</v>
      </c>
      <c r="G171" s="9">
        <v>2</v>
      </c>
      <c r="H171" s="11">
        <v>21</v>
      </c>
      <c r="I171" s="13">
        <v>0</v>
      </c>
      <c r="J171" s="11">
        <v>42</v>
      </c>
      <c r="K171" s="11">
        <v>26.04</v>
      </c>
      <c r="L171" s="15">
        <v>15.96</v>
      </c>
    </row>
    <row r="172" spans="1:12">
      <c r="A172" s="4" t="s">
        <v>213</v>
      </c>
      <c r="B172" s="7">
        <v>46146</v>
      </c>
      <c r="C172" t="s">
        <v>15</v>
      </c>
      <c r="D172" t="s">
        <v>36</v>
      </c>
      <c r="E172" t="s">
        <v>37</v>
      </c>
      <c r="F172" t="s">
        <v>45</v>
      </c>
      <c r="G172" s="9">
        <v>9</v>
      </c>
      <c r="H172" s="11">
        <v>32</v>
      </c>
      <c r="I172" s="13">
        <v>0</v>
      </c>
      <c r="J172" s="11">
        <v>288</v>
      </c>
      <c r="K172" s="11">
        <v>192.96</v>
      </c>
      <c r="L172" s="15">
        <v>95.04</v>
      </c>
    </row>
    <row r="173" spans="1:12">
      <c r="A173" s="4" t="s">
        <v>214</v>
      </c>
      <c r="B173" s="7">
        <v>46151</v>
      </c>
      <c r="C173" t="s">
        <v>13</v>
      </c>
      <c r="D173" t="s">
        <v>40</v>
      </c>
      <c r="E173" t="s">
        <v>41</v>
      </c>
      <c r="F173" t="s">
        <v>48</v>
      </c>
      <c r="G173" s="9">
        <v>7</v>
      </c>
      <c r="H173" s="11">
        <v>43</v>
      </c>
      <c r="I173" s="13">
        <v>0.1</v>
      </c>
      <c r="J173" s="11">
        <v>270.89999999999998</v>
      </c>
      <c r="K173" s="11">
        <v>140.87</v>
      </c>
      <c r="L173" s="15">
        <v>130.03</v>
      </c>
    </row>
    <row r="174" spans="1:12">
      <c r="A174" s="4" t="s">
        <v>215</v>
      </c>
      <c r="B174" s="7">
        <v>46156</v>
      </c>
      <c r="C174" t="s">
        <v>11</v>
      </c>
      <c r="D174" t="s">
        <v>44</v>
      </c>
      <c r="E174" t="s">
        <v>29</v>
      </c>
      <c r="F174" t="s">
        <v>30</v>
      </c>
      <c r="G174" s="9">
        <v>5</v>
      </c>
      <c r="H174" s="11">
        <v>54</v>
      </c>
      <c r="I174" s="13">
        <v>0</v>
      </c>
      <c r="J174" s="11">
        <v>270</v>
      </c>
      <c r="K174" s="11">
        <v>153.9</v>
      </c>
      <c r="L174" s="15">
        <v>116.1</v>
      </c>
    </row>
    <row r="175" spans="1:12">
      <c r="A175" s="4" t="s">
        <v>216</v>
      </c>
      <c r="B175" s="7">
        <v>46161</v>
      </c>
      <c r="C175" t="s">
        <v>9</v>
      </c>
      <c r="D175" t="s">
        <v>47</v>
      </c>
      <c r="E175" t="s">
        <v>33</v>
      </c>
      <c r="F175" t="s">
        <v>34</v>
      </c>
      <c r="G175" s="9">
        <v>3</v>
      </c>
      <c r="H175" s="11">
        <v>65</v>
      </c>
      <c r="I175" s="13">
        <v>0</v>
      </c>
      <c r="J175" s="11">
        <v>195</v>
      </c>
      <c r="K175" s="11">
        <v>120.9</v>
      </c>
      <c r="L175" s="15">
        <v>74.099999999999994</v>
      </c>
    </row>
    <row r="176" spans="1:12">
      <c r="A176" s="4" t="s">
        <v>217</v>
      </c>
      <c r="B176" s="7">
        <v>46166</v>
      </c>
      <c r="C176" t="s">
        <v>15</v>
      </c>
      <c r="D176" t="s">
        <v>28</v>
      </c>
      <c r="E176" t="s">
        <v>29</v>
      </c>
      <c r="F176" t="s">
        <v>38</v>
      </c>
      <c r="G176" s="9">
        <v>1</v>
      </c>
      <c r="H176" s="11">
        <v>21</v>
      </c>
      <c r="I176" s="13">
        <v>0</v>
      </c>
      <c r="J176" s="11">
        <v>21</v>
      </c>
      <c r="K176" s="11">
        <v>14.07</v>
      </c>
      <c r="L176" s="15">
        <v>6.93</v>
      </c>
    </row>
    <row r="177" spans="1:12">
      <c r="A177" s="4" t="s">
        <v>218</v>
      </c>
      <c r="B177" s="7">
        <v>46192</v>
      </c>
      <c r="C177" t="s">
        <v>13</v>
      </c>
      <c r="D177" t="s">
        <v>44</v>
      </c>
      <c r="E177" t="s">
        <v>29</v>
      </c>
      <c r="F177" t="s">
        <v>48</v>
      </c>
      <c r="G177" s="9">
        <v>7</v>
      </c>
      <c r="H177" s="11">
        <v>36</v>
      </c>
      <c r="I177" s="13">
        <v>0.1</v>
      </c>
      <c r="J177" s="11">
        <v>226.8</v>
      </c>
      <c r="K177" s="11">
        <v>140.62</v>
      </c>
      <c r="L177" s="15">
        <v>86.18</v>
      </c>
    </row>
    <row r="178" spans="1:12">
      <c r="A178" s="4" t="s">
        <v>219</v>
      </c>
      <c r="B178" s="7">
        <v>46197</v>
      </c>
      <c r="C178" t="s">
        <v>11</v>
      </c>
      <c r="D178" t="s">
        <v>47</v>
      </c>
      <c r="E178" t="s">
        <v>33</v>
      </c>
      <c r="F178" t="s">
        <v>30</v>
      </c>
      <c r="G178" s="9">
        <v>5</v>
      </c>
      <c r="H178" s="11">
        <v>47</v>
      </c>
      <c r="I178" s="13">
        <v>0</v>
      </c>
      <c r="J178" s="11">
        <v>235</v>
      </c>
      <c r="K178" s="11">
        <v>157.44999999999999</v>
      </c>
      <c r="L178" s="15">
        <v>77.55</v>
      </c>
    </row>
    <row r="179" spans="1:12">
      <c r="A179" s="4" t="s">
        <v>220</v>
      </c>
      <c r="B179" s="7">
        <v>46175</v>
      </c>
      <c r="C179" t="s">
        <v>9</v>
      </c>
      <c r="D179" t="s">
        <v>28</v>
      </c>
      <c r="E179" t="s">
        <v>29</v>
      </c>
      <c r="F179" t="s">
        <v>34</v>
      </c>
      <c r="G179" s="9">
        <v>3</v>
      </c>
      <c r="H179" s="11">
        <v>58</v>
      </c>
      <c r="I179" s="13">
        <v>0</v>
      </c>
      <c r="J179" s="11">
        <v>174</v>
      </c>
      <c r="K179" s="11">
        <v>90.48</v>
      </c>
      <c r="L179" s="15">
        <v>83.52</v>
      </c>
    </row>
    <row r="180" spans="1:12">
      <c r="A180" s="4" t="s">
        <v>221</v>
      </c>
      <c r="B180" s="7">
        <v>46180</v>
      </c>
      <c r="C180" t="s">
        <v>15</v>
      </c>
      <c r="D180" t="s">
        <v>32</v>
      </c>
      <c r="E180" t="s">
        <v>33</v>
      </c>
      <c r="F180" t="s">
        <v>38</v>
      </c>
      <c r="G180" s="9">
        <v>1</v>
      </c>
      <c r="H180" s="11">
        <v>14</v>
      </c>
      <c r="I180" s="13">
        <v>0</v>
      </c>
      <c r="J180" s="11">
        <v>14</v>
      </c>
      <c r="K180" s="11">
        <v>7.98</v>
      </c>
      <c r="L180" s="15">
        <v>6.02</v>
      </c>
    </row>
    <row r="181" spans="1:12">
      <c r="A181" s="4" t="s">
        <v>222</v>
      </c>
      <c r="B181" s="7">
        <v>46185</v>
      </c>
      <c r="C181" t="s">
        <v>13</v>
      </c>
      <c r="D181" t="s">
        <v>36</v>
      </c>
      <c r="E181" t="s">
        <v>37</v>
      </c>
      <c r="F181" t="s">
        <v>42</v>
      </c>
      <c r="G181" s="9">
        <v>8</v>
      </c>
      <c r="H181" s="11">
        <v>25</v>
      </c>
      <c r="I181" s="13">
        <v>0</v>
      </c>
      <c r="J181" s="11">
        <v>200</v>
      </c>
      <c r="K181" s="11">
        <v>124</v>
      </c>
      <c r="L181" s="15">
        <v>76</v>
      </c>
    </row>
    <row r="182" spans="1:12">
      <c r="A182" s="4" t="s">
        <v>223</v>
      </c>
      <c r="B182" s="7">
        <v>46190</v>
      </c>
      <c r="C182" t="s">
        <v>11</v>
      </c>
      <c r="D182" t="s">
        <v>40</v>
      </c>
      <c r="E182" t="s">
        <v>41</v>
      </c>
      <c r="F182" t="s">
        <v>45</v>
      </c>
      <c r="G182" s="9">
        <v>6</v>
      </c>
      <c r="H182" s="11">
        <v>36</v>
      </c>
      <c r="I182" s="13">
        <v>0.05</v>
      </c>
      <c r="J182" s="11">
        <v>205.2</v>
      </c>
      <c r="K182" s="11">
        <v>137.47999999999999</v>
      </c>
      <c r="L182" s="15">
        <v>67.72</v>
      </c>
    </row>
    <row r="183" spans="1:12">
      <c r="A183" s="4" t="s">
        <v>224</v>
      </c>
      <c r="B183" s="7">
        <v>46195</v>
      </c>
      <c r="C183" t="s">
        <v>9</v>
      </c>
      <c r="D183" t="s">
        <v>44</v>
      </c>
      <c r="E183" t="s">
        <v>29</v>
      </c>
      <c r="F183" t="s">
        <v>48</v>
      </c>
      <c r="G183" s="9">
        <v>4</v>
      </c>
      <c r="H183" s="11">
        <v>47</v>
      </c>
      <c r="I183" s="13">
        <v>0.1</v>
      </c>
      <c r="J183" s="11">
        <v>169.2</v>
      </c>
      <c r="K183" s="11">
        <v>87.98</v>
      </c>
      <c r="L183" s="15">
        <v>81.22</v>
      </c>
    </row>
    <row r="184" spans="1:12">
      <c r="A184" s="4" t="s">
        <v>225</v>
      </c>
      <c r="B184" s="7">
        <v>46200</v>
      </c>
      <c r="C184" t="s">
        <v>15</v>
      </c>
      <c r="D184" t="s">
        <v>47</v>
      </c>
      <c r="E184" t="s">
        <v>33</v>
      </c>
      <c r="F184" t="s">
        <v>30</v>
      </c>
      <c r="G184" s="9">
        <v>2</v>
      </c>
      <c r="H184" s="11">
        <v>58</v>
      </c>
      <c r="I184" s="13">
        <v>0</v>
      </c>
      <c r="J184" s="11">
        <v>116</v>
      </c>
      <c r="K184" s="11">
        <v>66.12</v>
      </c>
      <c r="L184" s="15">
        <v>49.88</v>
      </c>
    </row>
    <row r="185" spans="1:12">
      <c r="A185" s="4" t="s">
        <v>226</v>
      </c>
      <c r="B185" s="7">
        <v>46178</v>
      </c>
      <c r="C185" t="s">
        <v>13</v>
      </c>
      <c r="D185" t="s">
        <v>28</v>
      </c>
      <c r="E185" t="s">
        <v>29</v>
      </c>
      <c r="F185" t="s">
        <v>34</v>
      </c>
      <c r="G185" s="9">
        <v>9</v>
      </c>
      <c r="H185" s="11">
        <v>14</v>
      </c>
      <c r="I185" s="13">
        <v>0</v>
      </c>
      <c r="J185" s="11">
        <v>126</v>
      </c>
      <c r="K185" s="11">
        <v>78.12</v>
      </c>
      <c r="L185" s="15">
        <v>47.88</v>
      </c>
    </row>
    <row r="186" spans="1:12">
      <c r="A186" s="4" t="s">
        <v>227</v>
      </c>
      <c r="B186" s="7">
        <v>46183</v>
      </c>
      <c r="C186" t="s">
        <v>11</v>
      </c>
      <c r="D186" t="s">
        <v>32</v>
      </c>
      <c r="E186" t="s">
        <v>33</v>
      </c>
      <c r="F186" t="s">
        <v>38</v>
      </c>
      <c r="G186" s="9">
        <v>7</v>
      </c>
      <c r="H186" s="11">
        <v>25</v>
      </c>
      <c r="I186" s="13">
        <v>0</v>
      </c>
      <c r="J186" s="11">
        <v>175</v>
      </c>
      <c r="K186" s="11">
        <v>117.25</v>
      </c>
      <c r="L186" s="15">
        <v>57.75</v>
      </c>
    </row>
    <row r="187" spans="1:12">
      <c r="A187" s="4" t="s">
        <v>228</v>
      </c>
      <c r="B187" s="7">
        <v>46188</v>
      </c>
      <c r="C187" t="s">
        <v>9</v>
      </c>
      <c r="D187" t="s">
        <v>36</v>
      </c>
      <c r="E187" t="s">
        <v>37</v>
      </c>
      <c r="F187" t="s">
        <v>42</v>
      </c>
      <c r="G187" s="9">
        <v>5</v>
      </c>
      <c r="H187" s="11">
        <v>36</v>
      </c>
      <c r="I187" s="13">
        <v>0</v>
      </c>
      <c r="J187" s="11">
        <v>180</v>
      </c>
      <c r="K187" s="11">
        <v>93.6</v>
      </c>
      <c r="L187" s="15">
        <v>86.4</v>
      </c>
    </row>
    <row r="188" spans="1:12">
      <c r="A188" s="4" t="s">
        <v>229</v>
      </c>
      <c r="B188" s="7">
        <v>46193</v>
      </c>
      <c r="C188" t="s">
        <v>15</v>
      </c>
      <c r="D188" t="s">
        <v>40</v>
      </c>
      <c r="E188" t="s">
        <v>41</v>
      </c>
      <c r="F188" t="s">
        <v>45</v>
      </c>
      <c r="G188" s="9">
        <v>3</v>
      </c>
      <c r="H188" s="11">
        <v>47</v>
      </c>
      <c r="I188" s="13">
        <v>0</v>
      </c>
      <c r="J188" s="11">
        <v>141</v>
      </c>
      <c r="K188" s="11">
        <v>80.37</v>
      </c>
      <c r="L188" s="15">
        <v>60.63</v>
      </c>
    </row>
    <row r="189" spans="1:12">
      <c r="A189" s="4" t="s">
        <v>230</v>
      </c>
      <c r="B189" s="7">
        <v>46198</v>
      </c>
      <c r="C189" t="s">
        <v>13</v>
      </c>
      <c r="D189" t="s">
        <v>44</v>
      </c>
      <c r="E189" t="s">
        <v>29</v>
      </c>
      <c r="F189" t="s">
        <v>48</v>
      </c>
      <c r="G189" s="9">
        <v>1</v>
      </c>
      <c r="H189" s="11">
        <v>58</v>
      </c>
      <c r="I189" s="13">
        <v>0.1</v>
      </c>
      <c r="J189" s="11">
        <v>52.2</v>
      </c>
      <c r="K189" s="11">
        <v>32.36</v>
      </c>
      <c r="L189" s="15">
        <v>19.84</v>
      </c>
    </row>
    <row r="190" spans="1:12">
      <c r="A190" s="4" t="s">
        <v>231</v>
      </c>
      <c r="B190" s="7">
        <v>46176</v>
      </c>
      <c r="C190" t="s">
        <v>11</v>
      </c>
      <c r="D190" t="s">
        <v>47</v>
      </c>
      <c r="E190" t="s">
        <v>33</v>
      </c>
      <c r="F190" t="s">
        <v>30</v>
      </c>
      <c r="G190" s="9">
        <v>8</v>
      </c>
      <c r="H190" s="11">
        <v>14</v>
      </c>
      <c r="I190" s="13">
        <v>0</v>
      </c>
      <c r="J190" s="11">
        <v>112</v>
      </c>
      <c r="K190" s="11">
        <v>75.040000000000006</v>
      </c>
      <c r="L190" s="15">
        <v>36.96</v>
      </c>
    </row>
    <row r="191" spans="1:12">
      <c r="A191" s="4" t="s">
        <v>232</v>
      </c>
      <c r="B191" s="7">
        <v>46181</v>
      </c>
      <c r="C191" t="s">
        <v>9</v>
      </c>
      <c r="D191" t="s">
        <v>28</v>
      </c>
      <c r="E191" t="s">
        <v>29</v>
      </c>
      <c r="F191" t="s">
        <v>34</v>
      </c>
      <c r="G191" s="9">
        <v>6</v>
      </c>
      <c r="H191" s="11">
        <v>25</v>
      </c>
      <c r="I191" s="13">
        <v>0</v>
      </c>
      <c r="J191" s="11">
        <v>150</v>
      </c>
      <c r="K191" s="11">
        <v>78</v>
      </c>
      <c r="L191" s="15">
        <v>72</v>
      </c>
    </row>
    <row r="192" spans="1:12">
      <c r="A192" s="4" t="s">
        <v>233</v>
      </c>
      <c r="B192" s="7">
        <v>46186</v>
      </c>
      <c r="C192" t="s">
        <v>15</v>
      </c>
      <c r="D192" t="s">
        <v>32</v>
      </c>
      <c r="E192" t="s">
        <v>33</v>
      </c>
      <c r="F192" t="s">
        <v>38</v>
      </c>
      <c r="G192" s="9">
        <v>4</v>
      </c>
      <c r="H192" s="11">
        <v>36</v>
      </c>
      <c r="I192" s="13">
        <v>0</v>
      </c>
      <c r="J192" s="11">
        <v>144</v>
      </c>
      <c r="K192" s="11">
        <v>82.08</v>
      </c>
      <c r="L192" s="15">
        <v>61.92</v>
      </c>
    </row>
    <row r="193" spans="1:12">
      <c r="A193" s="4" t="s">
        <v>234</v>
      </c>
      <c r="B193" s="7">
        <v>46191</v>
      </c>
      <c r="C193" t="s">
        <v>13</v>
      </c>
      <c r="D193" t="s">
        <v>36</v>
      </c>
      <c r="E193" t="s">
        <v>37</v>
      </c>
      <c r="F193" t="s">
        <v>42</v>
      </c>
      <c r="G193" s="9">
        <v>2</v>
      </c>
      <c r="H193" s="11">
        <v>47</v>
      </c>
      <c r="I193" s="13">
        <v>0.05</v>
      </c>
      <c r="J193" s="11">
        <v>89.3</v>
      </c>
      <c r="K193" s="11">
        <v>55.37</v>
      </c>
      <c r="L193" s="15">
        <v>33.93</v>
      </c>
    </row>
    <row r="194" spans="1:12">
      <c r="A194" s="4" t="s">
        <v>235</v>
      </c>
      <c r="B194" s="7">
        <v>46196</v>
      </c>
      <c r="C194" t="s">
        <v>11</v>
      </c>
      <c r="D194" t="s">
        <v>40</v>
      </c>
      <c r="E194" t="s">
        <v>41</v>
      </c>
      <c r="F194" t="s">
        <v>45</v>
      </c>
      <c r="G194" s="9">
        <v>9</v>
      </c>
      <c r="H194" s="11">
        <v>58</v>
      </c>
      <c r="I194" s="13">
        <v>0</v>
      </c>
      <c r="J194" s="11">
        <v>522</v>
      </c>
      <c r="K194" s="11">
        <v>349.74</v>
      </c>
      <c r="L194" s="15">
        <v>172.26</v>
      </c>
    </row>
    <row r="195" spans="1:12">
      <c r="A195" s="4" t="s">
        <v>236</v>
      </c>
      <c r="B195" s="7">
        <v>46174</v>
      </c>
      <c r="C195" t="s">
        <v>9</v>
      </c>
      <c r="D195" t="s">
        <v>44</v>
      </c>
      <c r="E195" t="s">
        <v>29</v>
      </c>
      <c r="F195" t="s">
        <v>48</v>
      </c>
      <c r="G195" s="9">
        <v>7</v>
      </c>
      <c r="H195" s="11">
        <v>14</v>
      </c>
      <c r="I195" s="13">
        <v>0.1</v>
      </c>
      <c r="J195" s="11">
        <v>88.2</v>
      </c>
      <c r="K195" s="11">
        <v>45.86</v>
      </c>
      <c r="L195" s="15">
        <v>42.34</v>
      </c>
    </row>
    <row r="196" spans="1:12">
      <c r="A196" s="4" t="s">
        <v>237</v>
      </c>
      <c r="B196" s="7">
        <v>46179</v>
      </c>
      <c r="C196" t="s">
        <v>15</v>
      </c>
      <c r="D196" t="s">
        <v>47</v>
      </c>
      <c r="E196" t="s">
        <v>33</v>
      </c>
      <c r="F196" t="s">
        <v>30</v>
      </c>
      <c r="G196" s="9">
        <v>5</v>
      </c>
      <c r="H196" s="11">
        <v>25</v>
      </c>
      <c r="I196" s="13">
        <v>0</v>
      </c>
      <c r="J196" s="11">
        <v>125</v>
      </c>
      <c r="K196" s="11">
        <v>71.25</v>
      </c>
      <c r="L196" s="15">
        <v>53.75</v>
      </c>
    </row>
    <row r="197" spans="1:12">
      <c r="A197" s="4" t="s">
        <v>238</v>
      </c>
      <c r="B197" s="7">
        <v>46184</v>
      </c>
      <c r="C197" t="s">
        <v>13</v>
      </c>
      <c r="D197" t="s">
        <v>28</v>
      </c>
      <c r="E197" t="s">
        <v>29</v>
      </c>
      <c r="F197" t="s">
        <v>34</v>
      </c>
      <c r="G197" s="9">
        <v>3</v>
      </c>
      <c r="H197" s="11">
        <v>36</v>
      </c>
      <c r="I197" s="13">
        <v>0</v>
      </c>
      <c r="J197" s="11">
        <v>108</v>
      </c>
      <c r="K197" s="11">
        <v>66.959999999999994</v>
      </c>
      <c r="L197" s="15">
        <v>41.04</v>
      </c>
    </row>
    <row r="198" spans="1:12">
      <c r="A198" s="4" t="s">
        <v>239</v>
      </c>
      <c r="B198" s="7">
        <v>46189</v>
      </c>
      <c r="C198" t="s">
        <v>11</v>
      </c>
      <c r="D198" t="s">
        <v>32</v>
      </c>
      <c r="E198" t="s">
        <v>33</v>
      </c>
      <c r="F198" t="s">
        <v>38</v>
      </c>
      <c r="G198" s="9">
        <v>1</v>
      </c>
      <c r="H198" s="11">
        <v>47</v>
      </c>
      <c r="I198" s="13">
        <v>0</v>
      </c>
      <c r="J198" s="11">
        <v>47</v>
      </c>
      <c r="K198" s="11">
        <v>31.49</v>
      </c>
      <c r="L198" s="15">
        <v>15.51</v>
      </c>
    </row>
    <row r="199" spans="1:12">
      <c r="A199" s="4" t="s">
        <v>240</v>
      </c>
      <c r="B199" s="7">
        <v>46194</v>
      </c>
      <c r="C199" t="s">
        <v>9</v>
      </c>
      <c r="D199" t="s">
        <v>36</v>
      </c>
      <c r="E199" t="s">
        <v>37</v>
      </c>
      <c r="F199" t="s">
        <v>42</v>
      </c>
      <c r="G199" s="9">
        <v>8</v>
      </c>
      <c r="H199" s="11">
        <v>58</v>
      </c>
      <c r="I199" s="13">
        <v>0</v>
      </c>
      <c r="J199" s="11">
        <v>464</v>
      </c>
      <c r="K199" s="11">
        <v>241.28</v>
      </c>
      <c r="L199" s="15">
        <v>222.72</v>
      </c>
    </row>
    <row r="200" spans="1:12">
      <c r="A200" s="4" t="s">
        <v>241</v>
      </c>
      <c r="B200" s="7">
        <v>46199</v>
      </c>
      <c r="C200" t="s">
        <v>15</v>
      </c>
      <c r="D200" t="s">
        <v>40</v>
      </c>
      <c r="E200" t="s">
        <v>41</v>
      </c>
      <c r="F200" t="s">
        <v>45</v>
      </c>
      <c r="G200" s="9">
        <v>6</v>
      </c>
      <c r="H200" s="11">
        <v>14</v>
      </c>
      <c r="I200" s="13">
        <v>0</v>
      </c>
      <c r="J200" s="11">
        <v>84</v>
      </c>
      <c r="K200" s="11">
        <v>47.88</v>
      </c>
      <c r="L200" s="15">
        <v>36.119999999999997</v>
      </c>
    </row>
    <row r="201" spans="1:12">
      <c r="A201" s="4" t="s">
        <v>242</v>
      </c>
      <c r="B201" s="7">
        <v>46177</v>
      </c>
      <c r="C201" t="s">
        <v>13</v>
      </c>
      <c r="D201" t="s">
        <v>44</v>
      </c>
      <c r="E201" t="s">
        <v>29</v>
      </c>
      <c r="F201" t="s">
        <v>48</v>
      </c>
      <c r="G201" s="9">
        <v>4</v>
      </c>
      <c r="H201" s="11">
        <v>25</v>
      </c>
      <c r="I201" s="13">
        <v>0.1</v>
      </c>
      <c r="J201" s="11">
        <v>90</v>
      </c>
      <c r="K201" s="11">
        <v>55.8</v>
      </c>
      <c r="L201" s="15">
        <v>34.200000000000003</v>
      </c>
    </row>
    <row r="202" spans="1:12">
      <c r="A202" s="4" t="s">
        <v>243</v>
      </c>
      <c r="B202" s="7">
        <v>46182</v>
      </c>
      <c r="C202" t="s">
        <v>11</v>
      </c>
      <c r="D202" t="s">
        <v>47</v>
      </c>
      <c r="E202" t="s">
        <v>33</v>
      </c>
      <c r="F202" t="s">
        <v>30</v>
      </c>
      <c r="G202" s="9">
        <v>2</v>
      </c>
      <c r="H202" s="11">
        <v>36</v>
      </c>
      <c r="I202" s="13">
        <v>0</v>
      </c>
      <c r="J202" s="11">
        <v>72</v>
      </c>
      <c r="K202" s="11">
        <v>48.24</v>
      </c>
      <c r="L202" s="15">
        <v>23.76</v>
      </c>
    </row>
    <row r="203" spans="1:12">
      <c r="A203" s="4" t="s">
        <v>244</v>
      </c>
      <c r="B203" s="7">
        <v>46187</v>
      </c>
      <c r="C203" t="s">
        <v>9</v>
      </c>
      <c r="D203" t="s">
        <v>28</v>
      </c>
      <c r="E203" t="s">
        <v>29</v>
      </c>
      <c r="F203" t="s">
        <v>34</v>
      </c>
      <c r="G203" s="9">
        <v>9</v>
      </c>
      <c r="H203" s="11">
        <v>47</v>
      </c>
      <c r="I203" s="13">
        <v>0</v>
      </c>
      <c r="J203" s="11">
        <v>423</v>
      </c>
      <c r="K203" s="11">
        <v>219.96</v>
      </c>
      <c r="L203" s="15">
        <v>203.04</v>
      </c>
    </row>
    <row r="204" spans="1:12">
      <c r="A204" s="4" t="s">
        <v>245</v>
      </c>
      <c r="B204" s="7">
        <v>46192</v>
      </c>
      <c r="C204" t="s">
        <v>15</v>
      </c>
      <c r="D204" t="s">
        <v>32</v>
      </c>
      <c r="E204" t="s">
        <v>33</v>
      </c>
      <c r="F204" t="s">
        <v>38</v>
      </c>
      <c r="G204" s="9">
        <v>7</v>
      </c>
      <c r="H204" s="11">
        <v>58</v>
      </c>
      <c r="I204" s="13">
        <v>0.05</v>
      </c>
      <c r="J204" s="11">
        <v>385.7</v>
      </c>
      <c r="K204" s="11">
        <v>219.85</v>
      </c>
      <c r="L204" s="15">
        <v>165.85</v>
      </c>
    </row>
    <row r="205" spans="1:12">
      <c r="A205" s="4" t="s">
        <v>246</v>
      </c>
      <c r="B205" s="7">
        <v>46197</v>
      </c>
      <c r="C205" t="s">
        <v>13</v>
      </c>
      <c r="D205" t="s">
        <v>36</v>
      </c>
      <c r="E205" t="s">
        <v>37</v>
      </c>
      <c r="F205" t="s">
        <v>42</v>
      </c>
      <c r="G205" s="9">
        <v>5</v>
      </c>
      <c r="H205" s="11">
        <v>14</v>
      </c>
      <c r="I205" s="13">
        <v>0</v>
      </c>
      <c r="J205" s="11">
        <v>70</v>
      </c>
      <c r="K205" s="11">
        <v>43.4</v>
      </c>
      <c r="L205" s="15">
        <v>26.6</v>
      </c>
    </row>
    <row r="206" spans="1:12">
      <c r="A206" s="4" t="s">
        <v>247</v>
      </c>
      <c r="B206" s="7">
        <v>46175</v>
      </c>
      <c r="C206" t="s">
        <v>11</v>
      </c>
      <c r="D206" t="s">
        <v>40</v>
      </c>
      <c r="E206" t="s">
        <v>41</v>
      </c>
      <c r="F206" t="s">
        <v>45</v>
      </c>
      <c r="G206" s="9">
        <v>3</v>
      </c>
      <c r="H206" s="11">
        <v>25</v>
      </c>
      <c r="I206" s="13">
        <v>0</v>
      </c>
      <c r="J206" s="11">
        <v>75</v>
      </c>
      <c r="K206" s="11">
        <v>50.25</v>
      </c>
      <c r="L206" s="15">
        <v>24.75</v>
      </c>
    </row>
    <row r="207" spans="1:12">
      <c r="A207" s="4" t="s">
        <v>248</v>
      </c>
      <c r="B207" s="7">
        <v>46180</v>
      </c>
      <c r="C207" t="s">
        <v>9</v>
      </c>
      <c r="D207" t="s">
        <v>44</v>
      </c>
      <c r="E207" t="s">
        <v>29</v>
      </c>
      <c r="F207" t="s">
        <v>48</v>
      </c>
      <c r="G207" s="9">
        <v>1</v>
      </c>
      <c r="H207" s="11">
        <v>36</v>
      </c>
      <c r="I207" s="13">
        <v>0.1</v>
      </c>
      <c r="J207" s="11">
        <v>32.4</v>
      </c>
      <c r="K207" s="11">
        <v>16.850000000000001</v>
      </c>
      <c r="L207" s="15">
        <v>15.55</v>
      </c>
    </row>
    <row r="208" spans="1:12">
      <c r="A208" s="4" t="s">
        <v>249</v>
      </c>
      <c r="B208" s="7">
        <v>46185</v>
      </c>
      <c r="C208" t="s">
        <v>15</v>
      </c>
      <c r="D208" t="s">
        <v>47</v>
      </c>
      <c r="E208" t="s">
        <v>33</v>
      </c>
      <c r="F208" t="s">
        <v>30</v>
      </c>
      <c r="G208" s="9">
        <v>8</v>
      </c>
      <c r="H208" s="11">
        <v>47</v>
      </c>
      <c r="I208" s="13">
        <v>0</v>
      </c>
      <c r="J208" s="11">
        <v>376</v>
      </c>
      <c r="K208" s="11">
        <v>214.32</v>
      </c>
      <c r="L208" s="15">
        <v>161.68</v>
      </c>
    </row>
    <row r="209" spans="1:12">
      <c r="A209" s="4" t="s">
        <v>250</v>
      </c>
      <c r="B209" s="7">
        <v>46190</v>
      </c>
      <c r="C209" t="s">
        <v>13</v>
      </c>
      <c r="D209" t="s">
        <v>28</v>
      </c>
      <c r="E209" t="s">
        <v>29</v>
      </c>
      <c r="F209" t="s">
        <v>34</v>
      </c>
      <c r="G209" s="9">
        <v>6</v>
      </c>
      <c r="H209" s="11">
        <v>58</v>
      </c>
      <c r="I209" s="13">
        <v>0</v>
      </c>
      <c r="J209" s="11">
        <v>348</v>
      </c>
      <c r="K209" s="11">
        <v>215.76</v>
      </c>
      <c r="L209" s="15">
        <v>132.24</v>
      </c>
    </row>
    <row r="210" spans="1:12">
      <c r="A210" s="4" t="s">
        <v>251</v>
      </c>
      <c r="B210" s="7">
        <v>46195</v>
      </c>
      <c r="C210" t="s">
        <v>11</v>
      </c>
      <c r="D210" t="s">
        <v>32</v>
      </c>
      <c r="E210" t="s">
        <v>33</v>
      </c>
      <c r="F210" t="s">
        <v>38</v>
      </c>
      <c r="G210" s="9">
        <v>4</v>
      </c>
      <c r="H210" s="11">
        <v>14</v>
      </c>
      <c r="I210" s="13">
        <v>0</v>
      </c>
      <c r="J210" s="11">
        <v>56</v>
      </c>
      <c r="K210" s="11">
        <v>37.520000000000003</v>
      </c>
      <c r="L210" s="15">
        <v>18.48</v>
      </c>
    </row>
    <row r="211" spans="1:12">
      <c r="A211" s="5" t="s">
        <v>252</v>
      </c>
      <c r="B211" s="8">
        <v>46200</v>
      </c>
      <c r="C211" s="6" t="s">
        <v>9</v>
      </c>
      <c r="D211" s="6" t="s">
        <v>36</v>
      </c>
      <c r="E211" s="6" t="s">
        <v>37</v>
      </c>
      <c r="F211" s="6" t="s">
        <v>42</v>
      </c>
      <c r="G211" s="10">
        <v>2</v>
      </c>
      <c r="H211" s="12">
        <v>25</v>
      </c>
      <c r="I211" s="14">
        <v>0</v>
      </c>
      <c r="J211" s="12">
        <v>50</v>
      </c>
      <c r="K211" s="12">
        <v>26</v>
      </c>
      <c r="L211" s="16">
        <v>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workbookViewId="0">
      <selection sqref="A1:H1"/>
    </sheetView>
  </sheetViews>
  <sheetFormatPr defaultRowHeight="13.5"/>
  <cols>
    <col min="1" max="8" width="18" customWidth="1"/>
  </cols>
  <sheetData>
    <row r="1" spans="1:8" ht="20.65">
      <c r="A1" s="28" t="s">
        <v>253</v>
      </c>
      <c r="B1" s="28"/>
      <c r="C1" s="28"/>
      <c r="D1" s="28"/>
      <c r="E1" s="28"/>
      <c r="F1" s="28"/>
      <c r="G1" s="28"/>
      <c r="H1" s="28"/>
    </row>
    <row r="3" spans="1:8" ht="16.899999999999999">
      <c r="A3" s="29" t="s">
        <v>254</v>
      </c>
      <c r="B3" s="29"/>
      <c r="C3" s="29"/>
      <c r="D3" s="29"/>
      <c r="E3" s="29"/>
      <c r="F3" s="29"/>
      <c r="G3" s="29"/>
      <c r="H3" s="29"/>
    </row>
    <row r="4" spans="1:8">
      <c r="A4" s="30" t="s">
        <v>255</v>
      </c>
      <c r="B4" s="30"/>
      <c r="C4" s="30"/>
      <c r="D4" s="30"/>
      <c r="E4" s="30"/>
      <c r="F4" s="30"/>
      <c r="G4" s="30"/>
      <c r="H4" s="30"/>
    </row>
    <row r="5" spans="1:8">
      <c r="A5" s="30"/>
      <c r="B5" s="30"/>
      <c r="C5" s="30"/>
      <c r="D5" s="30"/>
      <c r="E5" s="30"/>
      <c r="F5" s="30"/>
      <c r="G5" s="30"/>
      <c r="H5" s="30"/>
    </row>
    <row r="6" spans="1:8">
      <c r="A6" s="30"/>
      <c r="B6" s="30"/>
      <c r="C6" s="30"/>
      <c r="D6" s="30"/>
      <c r="E6" s="30"/>
      <c r="F6" s="30"/>
      <c r="G6" s="30"/>
      <c r="H6" s="30"/>
    </row>
    <row r="7" spans="1:8">
      <c r="A7" s="30"/>
      <c r="B7" s="30"/>
      <c r="C7" s="30"/>
      <c r="D7" s="30"/>
      <c r="E7" s="30"/>
      <c r="F7" s="30"/>
      <c r="G7" s="30"/>
      <c r="H7" s="30"/>
    </row>
    <row r="8" spans="1:8">
      <c r="A8" s="30"/>
      <c r="B8" s="30"/>
      <c r="C8" s="30"/>
      <c r="D8" s="30"/>
      <c r="E8" s="30"/>
      <c r="F8" s="30"/>
      <c r="G8" s="30"/>
      <c r="H8" s="30"/>
    </row>
    <row r="9" spans="1:8">
      <c r="A9" s="26"/>
      <c r="B9" s="26"/>
      <c r="C9" s="26"/>
      <c r="D9" s="26"/>
      <c r="E9" s="26"/>
      <c r="F9" s="26"/>
      <c r="G9" s="26"/>
      <c r="H9" s="26"/>
    </row>
    <row r="10" spans="1:8" ht="16.899999999999999">
      <c r="A10" s="29" t="s">
        <v>256</v>
      </c>
      <c r="B10" s="29"/>
      <c r="C10" s="29"/>
      <c r="D10" s="29"/>
      <c r="E10" s="29"/>
      <c r="F10" s="29"/>
      <c r="G10" s="29"/>
      <c r="H10" s="29"/>
    </row>
    <row r="11" spans="1:8">
      <c r="A11" s="30" t="s">
        <v>257</v>
      </c>
      <c r="B11" s="30"/>
      <c r="C11" s="30"/>
      <c r="D11" s="30"/>
      <c r="E11" s="30"/>
      <c r="F11" s="30"/>
      <c r="G11" s="30"/>
      <c r="H11" s="30"/>
    </row>
    <row r="12" spans="1:8">
      <c r="A12" s="30"/>
      <c r="B12" s="30"/>
      <c r="C12" s="30"/>
      <c r="D12" s="30"/>
      <c r="E12" s="30"/>
      <c r="F12" s="30"/>
      <c r="G12" s="30"/>
      <c r="H12" s="30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>
      <c r="A14" s="30"/>
      <c r="B14" s="30"/>
      <c r="C14" s="30"/>
      <c r="D14" s="30"/>
      <c r="E14" s="30"/>
      <c r="F14" s="30"/>
      <c r="G14" s="30"/>
      <c r="H14" s="30"/>
    </row>
    <row r="15" spans="1:8">
      <c r="A15" s="30"/>
      <c r="B15" s="30"/>
      <c r="C15" s="30"/>
      <c r="D15" s="30"/>
      <c r="E15" s="30"/>
      <c r="F15" s="30"/>
      <c r="G15" s="30"/>
      <c r="H15" s="30"/>
    </row>
    <row r="16" spans="1:8">
      <c r="A16" s="30"/>
      <c r="B16" s="30"/>
      <c r="C16" s="30"/>
      <c r="D16" s="30"/>
      <c r="E16" s="30"/>
      <c r="F16" s="30"/>
      <c r="G16" s="30"/>
      <c r="H16" s="30"/>
    </row>
  </sheetData>
  <mergeCells count="5">
    <mergeCell ref="A1:H1"/>
    <mergeCell ref="A3:H3"/>
    <mergeCell ref="A4:H8"/>
    <mergeCell ref="A10:H10"/>
    <mergeCell ref="A11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pivot_1</vt:lpstr>
      <vt:lpstr>pivot_2</vt:lpstr>
      <vt:lpstr>Sales Data</vt:lpstr>
      <vt:lpstr>Project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Noble</dc:creator>
  <cp:lastModifiedBy>Alan Noble</cp:lastModifiedBy>
  <dcterms:created xsi:type="dcterms:W3CDTF">2026-08-01T09:36:39Z</dcterms:created>
  <dcterms:modified xsi:type="dcterms:W3CDTF">2026-08-01T10:39:01Z</dcterms:modified>
</cp:coreProperties>
</file>