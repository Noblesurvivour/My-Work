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lann\Desktop\Alan\"/>
    </mc:Choice>
  </mc:AlternateContent>
  <xr:revisionPtr revIDLastSave="0" documentId="13_ncr:1_{E9B05890-5A98-433D-B1BA-E55237490792}" xr6:coauthVersionLast="47" xr6:coauthVersionMax="47" xr10:uidLastSave="{00000000-0000-0000-0000-000000000000}"/>
  <bookViews>
    <workbookView xWindow="-98" yWindow="-98" windowWidth="21795" windowHeight="13695" activeTab="2" xr2:uid="{DAD3F9D9-C832-46BD-A34D-24F3A0CF416C}"/>
  </bookViews>
  <sheets>
    <sheet name="Raw Data" sheetId="1" r:id="rId1"/>
    <sheet name="Pivot Analysis" sheetId="4" r:id="rId2"/>
    <sheet name="HR Summary" sheetId="7" r:id="rId3"/>
  </sheets>
  <definedNames>
    <definedName name="_xlnm._FilterDatabase" localSheetId="0" hidden="1">'Raw Data'!$A$1:$H$1</definedName>
    <definedName name="Slicer_Nationality">#N/A</definedName>
    <definedName name="Slicer_Posi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6" i="7" l="1"/>
  <c r="F6" i="7"/>
  <c r="H180" i="1"/>
  <c r="H274" i="1"/>
  <c r="H478" i="1"/>
  <c r="H253" i="1"/>
  <c r="H442" i="1"/>
  <c r="H184" i="1"/>
  <c r="H303" i="1"/>
  <c r="H179" i="1"/>
  <c r="H58" i="1"/>
  <c r="H257" i="1"/>
  <c r="H37" i="1"/>
  <c r="H307" i="1"/>
  <c r="H151" i="1"/>
  <c r="H182" i="1"/>
  <c r="H316" i="1"/>
  <c r="H408" i="1"/>
  <c r="H374" i="1"/>
  <c r="H345" i="1"/>
  <c r="H370" i="1"/>
  <c r="H24" i="1"/>
  <c r="H333" i="1"/>
  <c r="H436" i="1"/>
  <c r="H444" i="1"/>
  <c r="H419" i="1"/>
  <c r="H328" i="1"/>
  <c r="H118" i="1"/>
  <c r="H27" i="1"/>
  <c r="H154" i="1"/>
  <c r="H64" i="1"/>
  <c r="H56" i="1"/>
  <c r="H23" i="1"/>
  <c r="H123" i="1"/>
  <c r="H192" i="1"/>
  <c r="H467" i="1"/>
  <c r="H446" i="1"/>
  <c r="H26" i="1"/>
  <c r="H415" i="1"/>
  <c r="H360" i="1"/>
  <c r="H225" i="1"/>
  <c r="H242" i="1"/>
  <c r="H105" i="1"/>
  <c r="H362" i="1"/>
  <c r="H428" i="1"/>
  <c r="H320" i="1"/>
  <c r="H139" i="1"/>
  <c r="H396" i="1"/>
  <c r="H330" i="1"/>
  <c r="H51" i="1"/>
  <c r="H90" i="1"/>
  <c r="H459" i="1"/>
  <c r="H141" i="1"/>
  <c r="H115" i="1"/>
  <c r="H259" i="1"/>
  <c r="H43" i="1"/>
  <c r="H466" i="1"/>
  <c r="H458" i="1"/>
  <c r="H314" i="1"/>
  <c r="H359" i="1"/>
  <c r="H227" i="1"/>
  <c r="H269" i="1"/>
  <c r="H203" i="1"/>
  <c r="H413" i="1"/>
  <c r="H100" i="1"/>
  <c r="H299" i="1"/>
  <c r="H440" i="1"/>
  <c r="H159" i="1"/>
  <c r="H366" i="1"/>
  <c r="H93" i="1"/>
  <c r="H284" i="1"/>
  <c r="H224" i="1"/>
  <c r="H388" i="1"/>
  <c r="H450" i="1"/>
  <c r="H122" i="1"/>
  <c r="H163" i="1"/>
  <c r="H294" i="1"/>
  <c r="H368" i="1"/>
  <c r="H301" i="1"/>
  <c r="H131" i="1"/>
  <c r="H74" i="1"/>
  <c r="H306" i="1"/>
  <c r="H329" i="1"/>
  <c r="H313" i="1"/>
  <c r="H65" i="1"/>
  <c r="H97" i="1"/>
  <c r="H200" i="1"/>
  <c r="H443" i="1"/>
  <c r="H343" i="1"/>
  <c r="H133" i="1"/>
  <c r="H205" i="1"/>
  <c r="H292" i="1"/>
  <c r="H191" i="1"/>
  <c r="H331" i="1"/>
  <c r="H266" i="1"/>
  <c r="H39" i="1"/>
  <c r="H418" i="1"/>
  <c r="H286" i="1"/>
  <c r="H487" i="1"/>
  <c r="H476" i="1"/>
  <c r="H261" i="1"/>
  <c r="H346" i="1"/>
  <c r="H129" i="1"/>
  <c r="H426" i="1"/>
  <c r="H424" i="1"/>
  <c r="H95" i="1"/>
  <c r="H276" i="1"/>
  <c r="H46" i="1"/>
  <c r="H175" i="1"/>
  <c r="H469" i="1"/>
  <c r="H265" i="1"/>
  <c r="H108" i="1"/>
  <c r="H394" i="1"/>
  <c r="H325" i="1"/>
  <c r="H382" i="1"/>
  <c r="H448" i="1"/>
  <c r="H300" i="1"/>
  <c r="H477" i="1"/>
  <c r="H197" i="1"/>
  <c r="H41" i="1"/>
  <c r="H11" i="1"/>
  <c r="H3" i="1"/>
  <c r="H410" i="1"/>
  <c r="H378" i="1"/>
  <c r="H411" i="1"/>
  <c r="H232" i="1"/>
  <c r="H429" i="1"/>
  <c r="H474" i="1"/>
  <c r="H248" i="1"/>
  <c r="H254" i="1"/>
  <c r="H32" i="1"/>
  <c r="H14" i="1"/>
  <c r="H19" i="1"/>
  <c r="H352" i="1"/>
  <c r="H183" i="1"/>
  <c r="H114" i="1"/>
  <c r="H262" i="1"/>
  <c r="H367" i="1"/>
  <c r="H81" i="1"/>
  <c r="H295" i="1"/>
  <c r="H336" i="1"/>
  <c r="H29" i="1"/>
  <c r="H255" i="1"/>
  <c r="H30" i="1"/>
  <c r="H256" i="1"/>
  <c r="H243" i="1"/>
  <c r="H207" i="1"/>
  <c r="H439" i="1"/>
  <c r="H245" i="1"/>
  <c r="H12" i="1"/>
  <c r="H437" i="1"/>
  <c r="H453" i="1"/>
  <c r="H171" i="1"/>
  <c r="H247" i="1"/>
  <c r="H127" i="1"/>
  <c r="H302" i="1"/>
  <c r="H60" i="1"/>
  <c r="H338" i="1"/>
  <c r="H463" i="1"/>
  <c r="H340" i="1"/>
  <c r="H404" i="1"/>
  <c r="H289" i="1"/>
  <c r="H296" i="1"/>
  <c r="H181" i="1"/>
  <c r="H353" i="1"/>
  <c r="H317" i="1"/>
  <c r="H137" i="1"/>
  <c r="H468" i="1"/>
  <c r="H86" i="1"/>
  <c r="H138" i="1"/>
  <c r="H381" i="1"/>
  <c r="H430" i="1"/>
  <c r="H57" i="1"/>
  <c r="H351" i="1"/>
  <c r="H308" i="1"/>
  <c r="H92" i="1"/>
  <c r="H201" i="1"/>
  <c r="H148" i="1"/>
  <c r="H36" i="1"/>
  <c r="H136" i="1"/>
  <c r="H409" i="1"/>
  <c r="H190" i="1"/>
  <c r="H373" i="1"/>
  <c r="H356" i="1"/>
  <c r="H199" i="1"/>
  <c r="H482" i="1"/>
  <c r="H194" i="1"/>
  <c r="H386" i="1"/>
  <c r="H435" i="1"/>
  <c r="H161" i="1"/>
  <c r="H5" i="1"/>
  <c r="H355" i="1"/>
  <c r="H177" i="1"/>
  <c r="H119" i="1"/>
  <c r="H235" i="1"/>
  <c r="H451" i="1"/>
  <c r="H150" i="1"/>
  <c r="H16" i="1"/>
  <c r="H377" i="1"/>
  <c r="H204" i="1"/>
  <c r="H157" i="1"/>
  <c r="H273" i="1"/>
  <c r="H104" i="1"/>
  <c r="H221" i="1"/>
  <c r="H376" i="1"/>
  <c r="H142" i="1"/>
  <c r="H62" i="1"/>
  <c r="H252" i="1"/>
  <c r="H311" i="1"/>
  <c r="H80" i="1"/>
  <c r="H397" i="1"/>
  <c r="H68" i="1"/>
  <c r="H350" i="1"/>
  <c r="H13" i="1"/>
  <c r="H219" i="1"/>
  <c r="H471" i="1"/>
  <c r="H427" i="1"/>
  <c r="H158" i="1"/>
  <c r="H280" i="1"/>
  <c r="H89" i="1"/>
  <c r="H399" i="1"/>
  <c r="H21" i="1"/>
  <c r="H67" i="1"/>
  <c r="H260" i="1"/>
  <c r="H337" i="1"/>
  <c r="H412" i="1"/>
  <c r="H278" i="1"/>
  <c r="H124" i="1"/>
  <c r="H174" i="1"/>
  <c r="H132" i="1"/>
  <c r="H202" i="1"/>
  <c r="H144" i="1"/>
  <c r="H213" i="1"/>
  <c r="H309" i="1"/>
  <c r="H99" i="1"/>
  <c r="H348" i="1"/>
  <c r="H293" i="1"/>
  <c r="H88" i="1"/>
  <c r="H101" i="1"/>
  <c r="H214" i="1"/>
  <c r="H271" i="1"/>
  <c r="H82" i="1"/>
  <c r="H335" i="1"/>
  <c r="H18" i="1"/>
  <c r="H8" i="1"/>
  <c r="H342" i="1"/>
  <c r="H445" i="1"/>
  <c r="H211" i="1"/>
  <c r="H75" i="1"/>
  <c r="H237" i="1"/>
  <c r="H358" i="1"/>
  <c r="H187" i="1"/>
  <c r="H449" i="1"/>
  <c r="H379" i="1"/>
  <c r="H258" i="1"/>
  <c r="H91" i="1"/>
  <c r="H481" i="1"/>
  <c r="H10" i="1"/>
  <c r="H168" i="1"/>
  <c r="H241" i="1"/>
  <c r="H195" i="1"/>
  <c r="H71" i="1"/>
  <c r="H125" i="1"/>
  <c r="H145" i="1"/>
  <c r="H290" i="1"/>
  <c r="H354" i="1"/>
  <c r="H455" i="1"/>
  <c r="H25" i="1"/>
  <c r="H198" i="1"/>
  <c r="H264" i="1"/>
  <c r="H275" i="1"/>
  <c r="H196" i="1"/>
  <c r="H323" i="1"/>
  <c r="H109" i="1"/>
  <c r="H321" i="1"/>
  <c r="H167" i="1"/>
  <c r="H96" i="1"/>
  <c r="H72" i="1"/>
  <c r="H149" i="1"/>
  <c r="H218" i="1"/>
  <c r="H384" i="1"/>
  <c r="H383" i="1"/>
  <c r="H472" i="1"/>
  <c r="H393" i="1"/>
  <c r="H116" i="1"/>
  <c r="H416" i="1"/>
  <c r="H229" i="1"/>
  <c r="H28" i="1"/>
  <c r="H217" i="1"/>
  <c r="H233" i="1"/>
  <c r="H305" i="1"/>
  <c r="H279" i="1"/>
  <c r="H402" i="1"/>
  <c r="H347" i="1"/>
  <c r="H73" i="1"/>
  <c r="H283" i="1"/>
  <c r="H70" i="1"/>
  <c r="H488" i="1"/>
  <c r="H15" i="1"/>
  <c r="H42" i="1"/>
  <c r="H140" i="1"/>
  <c r="H47" i="1"/>
  <c r="H298" i="1"/>
  <c r="H172" i="1"/>
  <c r="H120" i="1"/>
  <c r="H400" i="1"/>
  <c r="H420" i="1"/>
  <c r="H22" i="1"/>
  <c r="H363" i="1"/>
  <c r="H432" i="1"/>
  <c r="H434" i="1"/>
  <c r="H385" i="1"/>
  <c r="H63" i="1"/>
  <c r="H78" i="1"/>
  <c r="H372" i="1"/>
  <c r="H106" i="1"/>
  <c r="H282" i="1"/>
  <c r="H475" i="1"/>
  <c r="H239" i="1"/>
  <c r="H55" i="1"/>
  <c r="H38" i="1"/>
  <c r="H479" i="1"/>
  <c r="H126" i="1"/>
  <c r="H210" i="1"/>
  <c r="H111" i="1"/>
  <c r="H79" i="1"/>
  <c r="H130" i="1"/>
  <c r="H110" i="1"/>
  <c r="H107" i="1"/>
  <c r="H216" i="1"/>
  <c r="H77" i="1"/>
  <c r="H387" i="1"/>
  <c r="H6" i="1"/>
  <c r="H20" i="1"/>
  <c r="H45" i="1"/>
  <c r="H422" i="1"/>
  <c r="H240" i="1"/>
  <c r="H117" i="1"/>
  <c r="H173" i="1"/>
  <c r="H244" i="1"/>
  <c r="H423" i="1"/>
  <c r="H83" i="1"/>
  <c r="H357" i="1"/>
  <c r="H431" i="1"/>
  <c r="H166" i="1"/>
  <c r="H324" i="1"/>
  <c r="H40" i="1"/>
  <c r="H392" i="1"/>
  <c r="H35" i="1"/>
  <c r="H17" i="1"/>
  <c r="H456" i="1"/>
  <c r="H134" i="1"/>
  <c r="H212" i="1"/>
  <c r="H288" i="1"/>
  <c r="H369" i="1"/>
  <c r="H457" i="1"/>
  <c r="H193" i="1"/>
  <c r="H103" i="1"/>
  <c r="H169" i="1"/>
  <c r="H84" i="1"/>
  <c r="H319" i="1"/>
  <c r="H375" i="1"/>
  <c r="H4" i="1"/>
  <c r="H113" i="1"/>
  <c r="H206" i="1"/>
  <c r="H156" i="1"/>
  <c r="H178" i="1"/>
  <c r="H44" i="1"/>
  <c r="H249" i="1"/>
  <c r="H226" i="1"/>
  <c r="H186" i="1"/>
  <c r="H230" i="1"/>
  <c r="H228" i="1"/>
  <c r="H407" i="1"/>
  <c r="H361" i="1"/>
  <c r="H208" i="1"/>
  <c r="H48" i="1"/>
  <c r="H152" i="1"/>
  <c r="H438" i="1"/>
  <c r="H297" i="1"/>
  <c r="H270" i="1"/>
  <c r="H401" i="1"/>
  <c r="H272" i="1"/>
  <c r="H209" i="1"/>
  <c r="H164" i="1"/>
  <c r="H54" i="1"/>
  <c r="H59" i="1"/>
  <c r="H268" i="1"/>
  <c r="H146" i="1"/>
  <c r="H189" i="1"/>
  <c r="H433" i="1"/>
  <c r="H291" i="1"/>
  <c r="H341" i="1"/>
  <c r="H33" i="1"/>
  <c r="H147" i="1"/>
  <c r="H69" i="1"/>
  <c r="H304" i="1"/>
  <c r="H462" i="1"/>
  <c r="H395" i="1"/>
  <c r="H50" i="1"/>
  <c r="H464" i="1"/>
  <c r="H66" i="1"/>
  <c r="H480" i="1"/>
  <c r="H277" i="1"/>
  <c r="H425" i="1"/>
  <c r="H87" i="1"/>
  <c r="H483" i="1"/>
  <c r="H53" i="1"/>
  <c r="H250" i="1"/>
  <c r="H484" i="1"/>
  <c r="H162" i="1"/>
  <c r="H389" i="1"/>
  <c r="H405" i="1"/>
  <c r="H143" i="1"/>
  <c r="H34" i="1"/>
  <c r="H452" i="1"/>
  <c r="H234" i="1"/>
  <c r="H160" i="1"/>
  <c r="H391" i="1"/>
  <c r="H485" i="1"/>
  <c r="H31" i="1"/>
  <c r="H334" i="1"/>
  <c r="H349" i="1"/>
  <c r="H128" i="1"/>
  <c r="H465" i="1"/>
  <c r="H398" i="1"/>
  <c r="H310" i="1"/>
  <c r="H312" i="1"/>
  <c r="H238" i="1"/>
  <c r="H155" i="1"/>
  <c r="H236" i="1"/>
  <c r="H390" i="1"/>
  <c r="H52" i="1"/>
  <c r="H223" i="1"/>
  <c r="H215" i="1"/>
  <c r="H318" i="1"/>
  <c r="H403" i="1"/>
  <c r="H315" i="1"/>
  <c r="H322" i="1"/>
  <c r="H470" i="1"/>
  <c r="H417" i="1"/>
  <c r="H222" i="1"/>
  <c r="H2" i="1"/>
  <c r="H421" i="1"/>
  <c r="H170" i="1"/>
  <c r="H76" i="1"/>
  <c r="H98" i="1"/>
  <c r="H326" i="1"/>
  <c r="H486" i="1"/>
  <c r="H287" i="1"/>
  <c r="H94" i="1"/>
  <c r="H102" i="1"/>
  <c r="H441" i="1"/>
  <c r="H153" i="1"/>
  <c r="H473" i="1"/>
  <c r="H461" i="1"/>
  <c r="H49" i="1"/>
  <c r="H112" i="1"/>
  <c r="H414" i="1"/>
  <c r="H406" i="1"/>
  <c r="H447" i="1"/>
  <c r="H460" i="1"/>
  <c r="H246" i="1"/>
  <c r="H371" i="1"/>
  <c r="H267" i="1"/>
  <c r="H263" i="1"/>
  <c r="H251" i="1"/>
  <c r="H135" i="1"/>
  <c r="H281" i="1"/>
  <c r="H9" i="1"/>
  <c r="H185" i="1"/>
  <c r="H285" i="1"/>
  <c r="H364" i="1"/>
  <c r="H165" i="1"/>
  <c r="H327" i="1"/>
  <c r="H380" i="1"/>
  <c r="H339" i="1"/>
  <c r="H231" i="1"/>
  <c r="H365" i="1"/>
  <c r="H7" i="1"/>
  <c r="H61" i="1"/>
  <c r="H188" i="1"/>
  <c r="H121" i="1"/>
  <c r="H332" i="1"/>
  <c r="H85" i="1"/>
  <c r="H344" i="1"/>
  <c r="H176" i="1"/>
  <c r="H454" i="1"/>
  <c r="H220" i="1"/>
  <c r="G180" i="1"/>
  <c r="G274" i="1"/>
  <c r="G478" i="1"/>
  <c r="G253" i="1"/>
  <c r="G442" i="1"/>
  <c r="G184" i="1"/>
  <c r="G303" i="1"/>
  <c r="G179" i="1"/>
  <c r="G58" i="1"/>
  <c r="G257" i="1"/>
  <c r="G37" i="1"/>
  <c r="G307" i="1"/>
  <c r="G151" i="1"/>
  <c r="G182" i="1"/>
  <c r="G316" i="1"/>
  <c r="G408" i="1"/>
  <c r="G374" i="1"/>
  <c r="G345" i="1"/>
  <c r="G370" i="1"/>
  <c r="G24" i="1"/>
  <c r="G333" i="1"/>
  <c r="G436" i="1"/>
  <c r="G444" i="1"/>
  <c r="G419" i="1"/>
  <c r="G328" i="1"/>
  <c r="G118" i="1"/>
  <c r="G27" i="1"/>
  <c r="G154" i="1"/>
  <c r="G64" i="1"/>
  <c r="G56" i="1"/>
  <c r="G23" i="1"/>
  <c r="G123" i="1"/>
  <c r="G192" i="1"/>
  <c r="G467" i="1"/>
  <c r="G446" i="1"/>
  <c r="G26" i="1"/>
  <c r="G415" i="1"/>
  <c r="G360" i="1"/>
  <c r="G225" i="1"/>
  <c r="G242" i="1"/>
  <c r="G105" i="1"/>
  <c r="G362" i="1"/>
  <c r="G428" i="1"/>
  <c r="G320" i="1"/>
  <c r="G139" i="1"/>
  <c r="G396" i="1"/>
  <c r="G330" i="1"/>
  <c r="G51" i="1"/>
  <c r="G90" i="1"/>
  <c r="G459" i="1"/>
  <c r="G141" i="1"/>
  <c r="G115" i="1"/>
  <c r="G259" i="1"/>
  <c r="G43" i="1"/>
  <c r="G466" i="1"/>
  <c r="G458" i="1"/>
  <c r="G314" i="1"/>
  <c r="G359" i="1"/>
  <c r="G227" i="1"/>
  <c r="G269" i="1"/>
  <c r="G203" i="1"/>
  <c r="G413" i="1"/>
  <c r="G100" i="1"/>
  <c r="G299" i="1"/>
  <c r="G440" i="1"/>
  <c r="G159" i="1"/>
  <c r="G366" i="1"/>
  <c r="G93" i="1"/>
  <c r="G284" i="1"/>
  <c r="G224" i="1"/>
  <c r="G388" i="1"/>
  <c r="G450" i="1"/>
  <c r="G122" i="1"/>
  <c r="G163" i="1"/>
  <c r="G294" i="1"/>
  <c r="G368" i="1"/>
  <c r="G301" i="1"/>
  <c r="G131" i="1"/>
  <c r="G74" i="1"/>
  <c r="G306" i="1"/>
  <c r="G329" i="1"/>
  <c r="G313" i="1"/>
  <c r="G65" i="1"/>
  <c r="G97" i="1"/>
  <c r="G200" i="1"/>
  <c r="G443" i="1"/>
  <c r="G343" i="1"/>
  <c r="G133" i="1"/>
  <c r="G205" i="1"/>
  <c r="G292" i="1"/>
  <c r="G191" i="1"/>
  <c r="G331" i="1"/>
  <c r="G266" i="1"/>
  <c r="G39" i="1"/>
  <c r="G418" i="1"/>
  <c r="G286" i="1"/>
  <c r="G487" i="1"/>
  <c r="G476" i="1"/>
  <c r="G261" i="1"/>
  <c r="G346" i="1"/>
  <c r="G129" i="1"/>
  <c r="G426" i="1"/>
  <c r="G424" i="1"/>
  <c r="G95" i="1"/>
  <c r="G276" i="1"/>
  <c r="G46" i="1"/>
  <c r="G175" i="1"/>
  <c r="G469" i="1"/>
  <c r="G265" i="1"/>
  <c r="G108" i="1"/>
  <c r="G394" i="1"/>
  <c r="G325" i="1"/>
  <c r="G382" i="1"/>
  <c r="G448" i="1"/>
  <c r="G300" i="1"/>
  <c r="G477" i="1"/>
  <c r="G197" i="1"/>
  <c r="G41" i="1"/>
  <c r="G11" i="1"/>
  <c r="G3" i="1"/>
  <c r="G410" i="1"/>
  <c r="G378" i="1"/>
  <c r="G411" i="1"/>
  <c r="G232" i="1"/>
  <c r="G429" i="1"/>
  <c r="G474" i="1"/>
  <c r="G248" i="1"/>
  <c r="G254" i="1"/>
  <c r="G32" i="1"/>
  <c r="G14" i="1"/>
  <c r="G19" i="1"/>
  <c r="G352" i="1"/>
  <c r="G183" i="1"/>
  <c r="G114" i="1"/>
  <c r="G262" i="1"/>
  <c r="G367" i="1"/>
  <c r="G81" i="1"/>
  <c r="G295" i="1"/>
  <c r="G336" i="1"/>
  <c r="G29" i="1"/>
  <c r="G255" i="1"/>
  <c r="G30" i="1"/>
  <c r="G256" i="1"/>
  <c r="G243" i="1"/>
  <c r="G207" i="1"/>
  <c r="G439" i="1"/>
  <c r="G245" i="1"/>
  <c r="G12" i="1"/>
  <c r="G437" i="1"/>
  <c r="G453" i="1"/>
  <c r="G171" i="1"/>
  <c r="G247" i="1"/>
  <c r="G127" i="1"/>
  <c r="G302" i="1"/>
  <c r="G60" i="1"/>
  <c r="G338" i="1"/>
  <c r="G463" i="1"/>
  <c r="G340" i="1"/>
  <c r="G404" i="1"/>
  <c r="G289" i="1"/>
  <c r="G296" i="1"/>
  <c r="G181" i="1"/>
  <c r="G353" i="1"/>
  <c r="G317" i="1"/>
  <c r="G137" i="1"/>
  <c r="G468" i="1"/>
  <c r="G86" i="1"/>
  <c r="G138" i="1"/>
  <c r="G381" i="1"/>
  <c r="G430" i="1"/>
  <c r="G57" i="1"/>
  <c r="G351" i="1"/>
  <c r="G308" i="1"/>
  <c r="G92" i="1"/>
  <c r="G201" i="1"/>
  <c r="G148" i="1"/>
  <c r="G36" i="1"/>
  <c r="G136" i="1"/>
  <c r="G409" i="1"/>
  <c r="G190" i="1"/>
  <c r="G373" i="1"/>
  <c r="G356" i="1"/>
  <c r="G199" i="1"/>
  <c r="G482" i="1"/>
  <c r="G194" i="1"/>
  <c r="G386" i="1"/>
  <c r="G435" i="1"/>
  <c r="G161" i="1"/>
  <c r="G5" i="1"/>
  <c r="G355" i="1"/>
  <c r="G177" i="1"/>
  <c r="G119" i="1"/>
  <c r="G235" i="1"/>
  <c r="G451" i="1"/>
  <c r="G150" i="1"/>
  <c r="G16" i="1"/>
  <c r="G377" i="1"/>
  <c r="G204" i="1"/>
  <c r="G157" i="1"/>
  <c r="G273" i="1"/>
  <c r="G104" i="1"/>
  <c r="G221" i="1"/>
  <c r="G376" i="1"/>
  <c r="G142" i="1"/>
  <c r="G62" i="1"/>
  <c r="G252" i="1"/>
  <c r="G311" i="1"/>
  <c r="G80" i="1"/>
  <c r="G397" i="1"/>
  <c r="G68" i="1"/>
  <c r="G350" i="1"/>
  <c r="G13" i="1"/>
  <c r="G219" i="1"/>
  <c r="G471" i="1"/>
  <c r="G427" i="1"/>
  <c r="G158" i="1"/>
  <c r="G280" i="1"/>
  <c r="G89" i="1"/>
  <c r="G399" i="1"/>
  <c r="G21" i="1"/>
  <c r="G67" i="1"/>
  <c r="G260" i="1"/>
  <c r="G337" i="1"/>
  <c r="G412" i="1"/>
  <c r="G278" i="1"/>
  <c r="G124" i="1"/>
  <c r="G174" i="1"/>
  <c r="G132" i="1"/>
  <c r="G202" i="1"/>
  <c r="G144" i="1"/>
  <c r="G213" i="1"/>
  <c r="G309" i="1"/>
  <c r="G99" i="1"/>
  <c r="G348" i="1"/>
  <c r="G293" i="1"/>
  <c r="G88" i="1"/>
  <c r="G101" i="1"/>
  <c r="G214" i="1"/>
  <c r="G271" i="1"/>
  <c r="G82" i="1"/>
  <c r="G335" i="1"/>
  <c r="G18" i="1"/>
  <c r="G8" i="1"/>
  <c r="G342" i="1"/>
  <c r="G445" i="1"/>
  <c r="G211" i="1"/>
  <c r="G75" i="1"/>
  <c r="G237" i="1"/>
  <c r="G358" i="1"/>
  <c r="G187" i="1"/>
  <c r="G449" i="1"/>
  <c r="G379" i="1"/>
  <c r="G258" i="1"/>
  <c r="G91" i="1"/>
  <c r="G481" i="1"/>
  <c r="G10" i="1"/>
  <c r="G168" i="1"/>
  <c r="G241" i="1"/>
  <c r="G195" i="1"/>
  <c r="G71" i="1"/>
  <c r="G125" i="1"/>
  <c r="G145" i="1"/>
  <c r="G290" i="1"/>
  <c r="G354" i="1"/>
  <c r="G455" i="1"/>
  <c r="G25" i="1"/>
  <c r="G198" i="1"/>
  <c r="G264" i="1"/>
  <c r="G275" i="1"/>
  <c r="G196" i="1"/>
  <c r="G323" i="1"/>
  <c r="G109" i="1"/>
  <c r="G321" i="1"/>
  <c r="G167" i="1"/>
  <c r="G96" i="1"/>
  <c r="G72" i="1"/>
  <c r="G149" i="1"/>
  <c r="G218" i="1"/>
  <c r="G384" i="1"/>
  <c r="G383" i="1"/>
  <c r="G472" i="1"/>
  <c r="G393" i="1"/>
  <c r="G116" i="1"/>
  <c r="G416" i="1"/>
  <c r="G229" i="1"/>
  <c r="G28" i="1"/>
  <c r="G217" i="1"/>
  <c r="G233" i="1"/>
  <c r="G305" i="1"/>
  <c r="G279" i="1"/>
  <c r="G402" i="1"/>
  <c r="G347" i="1"/>
  <c r="G73" i="1"/>
  <c r="G283" i="1"/>
  <c r="G70" i="1"/>
  <c r="G488" i="1"/>
  <c r="G15" i="1"/>
  <c r="G42" i="1"/>
  <c r="G140" i="1"/>
  <c r="G47" i="1"/>
  <c r="G298" i="1"/>
  <c r="G172" i="1"/>
  <c r="G120" i="1"/>
  <c r="G400" i="1"/>
  <c r="G420" i="1"/>
  <c r="G22" i="1"/>
  <c r="G363" i="1"/>
  <c r="G432" i="1"/>
  <c r="G434" i="1"/>
  <c r="G385" i="1"/>
  <c r="G63" i="1"/>
  <c r="G78" i="1"/>
  <c r="G372" i="1"/>
  <c r="G106" i="1"/>
  <c r="G282" i="1"/>
  <c r="G475" i="1"/>
  <c r="G239" i="1"/>
  <c r="G55" i="1"/>
  <c r="G38" i="1"/>
  <c r="G479" i="1"/>
  <c r="G126" i="1"/>
  <c r="G210" i="1"/>
  <c r="G111" i="1"/>
  <c r="G79" i="1"/>
  <c r="G130" i="1"/>
  <c r="G110" i="1"/>
  <c r="G107" i="1"/>
  <c r="G216" i="1"/>
  <c r="G77" i="1"/>
  <c r="G387" i="1"/>
  <c r="G6" i="1"/>
  <c r="G20" i="1"/>
  <c r="G45" i="1"/>
  <c r="G422" i="1"/>
  <c r="G240" i="1"/>
  <c r="G117" i="1"/>
  <c r="G173" i="1"/>
  <c r="G244" i="1"/>
  <c r="G423" i="1"/>
  <c r="G83" i="1"/>
  <c r="G357" i="1"/>
  <c r="G431" i="1"/>
  <c r="G166" i="1"/>
  <c r="G324" i="1"/>
  <c r="G40" i="1"/>
  <c r="G392" i="1"/>
  <c r="G35" i="1"/>
  <c r="G17" i="1"/>
  <c r="G456" i="1"/>
  <c r="G134" i="1"/>
  <c r="G212" i="1"/>
  <c r="G288" i="1"/>
  <c r="G369" i="1"/>
  <c r="G457" i="1"/>
  <c r="G193" i="1"/>
  <c r="G103" i="1"/>
  <c r="G169" i="1"/>
  <c r="G84" i="1"/>
  <c r="G319" i="1"/>
  <c r="G375" i="1"/>
  <c r="G4" i="1"/>
  <c r="G113" i="1"/>
  <c r="G206" i="1"/>
  <c r="G156" i="1"/>
  <c r="G178" i="1"/>
  <c r="G44" i="1"/>
  <c r="G249" i="1"/>
  <c r="G226" i="1"/>
  <c r="G186" i="1"/>
  <c r="G230" i="1"/>
  <c r="G228" i="1"/>
  <c r="G407" i="1"/>
  <c r="G361" i="1"/>
  <c r="G208" i="1"/>
  <c r="G48" i="1"/>
  <c r="G152" i="1"/>
  <c r="G438" i="1"/>
  <c r="G297" i="1"/>
  <c r="G270" i="1"/>
  <c r="G401" i="1"/>
  <c r="G272" i="1"/>
  <c r="G209" i="1"/>
  <c r="G164" i="1"/>
  <c r="G54" i="1"/>
  <c r="G59" i="1"/>
  <c r="G268" i="1"/>
  <c r="G146" i="1"/>
  <c r="G189" i="1"/>
  <c r="G433" i="1"/>
  <c r="G291" i="1"/>
  <c r="G341" i="1"/>
  <c r="G33" i="1"/>
  <c r="G147" i="1"/>
  <c r="G69" i="1"/>
  <c r="G304" i="1"/>
  <c r="G462" i="1"/>
  <c r="G395" i="1"/>
  <c r="G50" i="1"/>
  <c r="G464" i="1"/>
  <c r="G66" i="1"/>
  <c r="G480" i="1"/>
  <c r="G277" i="1"/>
  <c r="G425" i="1"/>
  <c r="G87" i="1"/>
  <c r="G483" i="1"/>
  <c r="G53" i="1"/>
  <c r="G250" i="1"/>
  <c r="G484" i="1"/>
  <c r="G162" i="1"/>
  <c r="G389" i="1"/>
  <c r="G405" i="1"/>
  <c r="G143" i="1"/>
  <c r="G34" i="1"/>
  <c r="G452" i="1"/>
  <c r="G234" i="1"/>
  <c r="G160" i="1"/>
  <c r="G391" i="1"/>
  <c r="G485" i="1"/>
  <c r="G31" i="1"/>
  <c r="G334" i="1"/>
  <c r="G349" i="1"/>
  <c r="G128" i="1"/>
  <c r="G465" i="1"/>
  <c r="G398" i="1"/>
  <c r="G310" i="1"/>
  <c r="G312" i="1"/>
  <c r="G238" i="1"/>
  <c r="G155" i="1"/>
  <c r="G236" i="1"/>
  <c r="G390" i="1"/>
  <c r="G52" i="1"/>
  <c r="G223" i="1"/>
  <c r="G215" i="1"/>
  <c r="G318" i="1"/>
  <c r="G403" i="1"/>
  <c r="G315" i="1"/>
  <c r="G322" i="1"/>
  <c r="G470" i="1"/>
  <c r="G417" i="1"/>
  <c r="G222" i="1"/>
  <c r="G2" i="1"/>
  <c r="G421" i="1"/>
  <c r="G170" i="1"/>
  <c r="G76" i="1"/>
  <c r="G98" i="1"/>
  <c r="G326" i="1"/>
  <c r="G486" i="1"/>
  <c r="G287" i="1"/>
  <c r="G94" i="1"/>
  <c r="G102" i="1"/>
  <c r="G441" i="1"/>
  <c r="G153" i="1"/>
  <c r="G473" i="1"/>
  <c r="G461" i="1"/>
  <c r="G49" i="1"/>
  <c r="G112" i="1"/>
  <c r="G414" i="1"/>
  <c r="G406" i="1"/>
  <c r="G447" i="1"/>
  <c r="G460" i="1"/>
  <c r="G246" i="1"/>
  <c r="G371" i="1"/>
  <c r="G267" i="1"/>
  <c r="G263" i="1"/>
  <c r="G251" i="1"/>
  <c r="G135" i="1"/>
  <c r="G281" i="1"/>
  <c r="G9" i="1"/>
  <c r="G185" i="1"/>
  <c r="G285" i="1"/>
  <c r="G364" i="1"/>
  <c r="G165" i="1"/>
  <c r="G327" i="1"/>
  <c r="G380" i="1"/>
  <c r="G339" i="1"/>
  <c r="G231" i="1"/>
  <c r="G365" i="1"/>
  <c r="G7" i="1"/>
  <c r="G61" i="1"/>
  <c r="G188" i="1"/>
  <c r="G121" i="1"/>
  <c r="G332" i="1"/>
  <c r="G85" i="1"/>
  <c r="G344" i="1"/>
  <c r="G176" i="1"/>
  <c r="G454" i="1"/>
  <c r="G220" i="1"/>
  <c r="H6" i="7" l="1"/>
</calcChain>
</file>

<file path=xl/sharedStrings.xml><?xml version="1.0" encoding="utf-8"?>
<sst xmlns="http://schemas.openxmlformats.org/spreadsheetml/2006/main" count="1793" uniqueCount="650">
  <si>
    <t>Employee Id</t>
  </si>
  <si>
    <t>Employee Name</t>
  </si>
  <si>
    <t>Position</t>
  </si>
  <si>
    <t>Nationality</t>
  </si>
  <si>
    <t>Amrith</t>
  </si>
  <si>
    <t>Alan</t>
  </si>
  <si>
    <t>Sanjay</t>
  </si>
  <si>
    <t>Muhammed Ashraf</t>
  </si>
  <si>
    <t>Sultan</t>
  </si>
  <si>
    <t>Joerg</t>
  </si>
  <si>
    <t>Sebastian</t>
  </si>
  <si>
    <t>Liam</t>
  </si>
  <si>
    <t>Noah</t>
  </si>
  <si>
    <t>Oliver</t>
  </si>
  <si>
    <t>Elijah</t>
  </si>
  <si>
    <t>James</t>
  </si>
  <si>
    <t>William</t>
  </si>
  <si>
    <t>Benjamin</t>
  </si>
  <si>
    <t>Lucas</t>
  </si>
  <si>
    <t>Henry</t>
  </si>
  <si>
    <t>Theodore</t>
  </si>
  <si>
    <t>Jack</t>
  </si>
  <si>
    <t>Levi</t>
  </si>
  <si>
    <t>Alexander</t>
  </si>
  <si>
    <t>Jackson</t>
  </si>
  <si>
    <t>Daniel</t>
  </si>
  <si>
    <t>Michael</t>
  </si>
  <si>
    <t>Olivia</t>
  </si>
  <si>
    <t>Emma</t>
  </si>
  <si>
    <t>Charlotte</t>
  </si>
  <si>
    <t>Amelia</t>
  </si>
  <si>
    <t>Sophia</t>
  </si>
  <si>
    <t>Isabella</t>
  </si>
  <si>
    <t>Ava</t>
  </si>
  <si>
    <t>Mia</t>
  </si>
  <si>
    <t>Evelyn</t>
  </si>
  <si>
    <t>Harper</t>
  </si>
  <si>
    <t>Luna</t>
  </si>
  <si>
    <t>Camila</t>
  </si>
  <si>
    <t>Gianna</t>
  </si>
  <si>
    <t>Elizabeth</t>
  </si>
  <si>
    <t>Eleanor</t>
  </si>
  <si>
    <t>Ella</t>
  </si>
  <si>
    <t>Sofia</t>
  </si>
  <si>
    <t>Avery</t>
  </si>
  <si>
    <t>Hazel</t>
  </si>
  <si>
    <t>Lily</t>
  </si>
  <si>
    <t>Isla</t>
  </si>
  <si>
    <t>Mason</t>
  </si>
  <si>
    <t>Ethan</t>
  </si>
  <si>
    <t>Logan</t>
  </si>
  <si>
    <t>Owen</t>
  </si>
  <si>
    <t>Samuel</t>
  </si>
  <si>
    <t>Arlo</t>
  </si>
  <si>
    <t>Leo</t>
  </si>
  <si>
    <t>Felix</t>
  </si>
  <si>
    <t>Arthur</t>
  </si>
  <si>
    <t>Milo</t>
  </si>
  <si>
    <t>Oscar</t>
  </si>
  <si>
    <t>Teddy</t>
  </si>
  <si>
    <t>Archie</t>
  </si>
  <si>
    <t>Albie</t>
  </si>
  <si>
    <t>Tommy</t>
  </si>
  <si>
    <t>Jude</t>
  </si>
  <si>
    <t>Rory</t>
  </si>
  <si>
    <t>Ezra</t>
  </si>
  <si>
    <t>Carter</t>
  </si>
  <si>
    <t>Caleb</t>
  </si>
  <si>
    <t>Isaac</t>
  </si>
  <si>
    <t>Ryan</t>
  </si>
  <si>
    <t>Luke</t>
  </si>
  <si>
    <t>Asher</t>
  </si>
  <si>
    <t>Gabriel</t>
  </si>
  <si>
    <t>Thomas</t>
  </si>
  <si>
    <t>Connor</t>
  </si>
  <si>
    <t>Nathan</t>
  </si>
  <si>
    <t>Nolan</t>
  </si>
  <si>
    <t>Nicholas</t>
  </si>
  <si>
    <t>Ian</t>
  </si>
  <si>
    <t>Adrian</t>
  </si>
  <si>
    <t>Ivy</t>
  </si>
  <si>
    <t>Freya</t>
  </si>
  <si>
    <t>Florence</t>
  </si>
  <si>
    <t>Elsie</t>
  </si>
  <si>
    <t>Sienna</t>
  </si>
  <si>
    <t>Poppy</t>
  </si>
  <si>
    <t>Willow</t>
  </si>
  <si>
    <t>Rosie</t>
  </si>
  <si>
    <t>Millie</t>
  </si>
  <si>
    <t>Aria</t>
  </si>
  <si>
    <t>Chloe</t>
  </si>
  <si>
    <t>Emily</t>
  </si>
  <si>
    <t>Maya</t>
  </si>
  <si>
    <t>Nora</t>
  </si>
  <si>
    <t>Elena</t>
  </si>
  <si>
    <t>Naomi</t>
  </si>
  <si>
    <t>Zoey</t>
  </si>
  <si>
    <t>Audrey</t>
  </si>
  <si>
    <t>Violet</t>
  </si>
  <si>
    <t>Aurora</t>
  </si>
  <si>
    <t>Stella</t>
  </si>
  <si>
    <t>Bella</t>
  </si>
  <si>
    <t>Claire</t>
  </si>
  <si>
    <t>Lucy</t>
  </si>
  <si>
    <t>Anna</t>
  </si>
  <si>
    <t>Ruby</t>
  </si>
  <si>
    <t>Eva</t>
  </si>
  <si>
    <t>Alice</t>
  </si>
  <si>
    <t>Aaron</t>
  </si>
  <si>
    <t>Adam</t>
  </si>
  <si>
    <t>Albert</t>
  </si>
  <si>
    <t>Alejandro</t>
  </si>
  <si>
    <t>Andrew</t>
  </si>
  <si>
    <t>Anthony</t>
  </si>
  <si>
    <t>Austin</t>
  </si>
  <si>
    <t>Axel</t>
  </si>
  <si>
    <t>Barrett</t>
  </si>
  <si>
    <t>Beau</t>
  </si>
  <si>
    <t>Beckett</t>
  </si>
  <si>
    <t>Bennett</t>
  </si>
  <si>
    <t>Blake</t>
  </si>
  <si>
    <t>Bradley</t>
  </si>
  <si>
    <t>Brady</t>
  </si>
  <si>
    <t>Brandon</t>
  </si>
  <si>
    <t>Brayden</t>
  </si>
  <si>
    <t>Brennan</t>
  </si>
  <si>
    <t>Brent</t>
  </si>
  <si>
    <t>Brett</t>
  </si>
  <si>
    <t>Brock</t>
  </si>
  <si>
    <t>Brody</t>
  </si>
  <si>
    <t>Brooks</t>
  </si>
  <si>
    <t>Bruce</t>
  </si>
  <si>
    <t>Bryan</t>
  </si>
  <si>
    <t>Bryce</t>
  </si>
  <si>
    <t>Bryson</t>
  </si>
  <si>
    <t>Caden</t>
  </si>
  <si>
    <t>Callum</t>
  </si>
  <si>
    <t>Calvin</t>
  </si>
  <si>
    <t>Cameron</t>
  </si>
  <si>
    <t>Carson</t>
  </si>
  <si>
    <t>Charles</t>
  </si>
  <si>
    <t>Christian</t>
  </si>
  <si>
    <t>Christopher</t>
  </si>
  <si>
    <t>Clark</t>
  </si>
  <si>
    <t>Clayton</t>
  </si>
  <si>
    <t>Cole</t>
  </si>
  <si>
    <t>Colin</t>
  </si>
  <si>
    <t>Colt</t>
  </si>
  <si>
    <t>Colton</t>
  </si>
  <si>
    <t>Cooper</t>
  </si>
  <si>
    <t>Corbin</t>
  </si>
  <si>
    <t>Corey</t>
  </si>
  <si>
    <t>Dallas</t>
  </si>
  <si>
    <t>Dalton</t>
  </si>
  <si>
    <t>Damian</t>
  </si>
  <si>
    <t>Dane</t>
  </si>
  <si>
    <t>Dante</t>
  </si>
  <si>
    <t>Darian</t>
  </si>
  <si>
    <t>Darius</t>
  </si>
  <si>
    <t>Darren</t>
  </si>
  <si>
    <t>David</t>
  </si>
  <si>
    <t>Dawson</t>
  </si>
  <si>
    <t>Dean</t>
  </si>
  <si>
    <t>Declan</t>
  </si>
  <si>
    <t>Derek</t>
  </si>
  <si>
    <t>Devin</t>
  </si>
  <si>
    <t>Diego</t>
  </si>
  <si>
    <t>Dominic</t>
  </si>
  <si>
    <t>Donald</t>
  </si>
  <si>
    <t>Donovan</t>
  </si>
  <si>
    <t>Dorian</t>
  </si>
  <si>
    <t>Douglas</t>
  </si>
  <si>
    <t>Drake</t>
  </si>
  <si>
    <t>Drew</t>
  </si>
  <si>
    <t>Dylan</t>
  </si>
  <si>
    <t>Easton</t>
  </si>
  <si>
    <t>Eddie</t>
  </si>
  <si>
    <t>Edgar</t>
  </si>
  <si>
    <t>Eduardo</t>
  </si>
  <si>
    <t>Edward</t>
  </si>
  <si>
    <t>Edwin</t>
  </si>
  <si>
    <t>Eli</t>
  </si>
  <si>
    <t>Elias</t>
  </si>
  <si>
    <t>Elliot</t>
  </si>
  <si>
    <t>Elliott</t>
  </si>
  <si>
    <t>Ellis</t>
  </si>
  <si>
    <t>Emmanuel</t>
  </si>
  <si>
    <t>Eric</t>
  </si>
  <si>
    <t>Erik</t>
  </si>
  <si>
    <t>Evan</t>
  </si>
  <si>
    <t>Everett</t>
  </si>
  <si>
    <t>Fabian</t>
  </si>
  <si>
    <t>Fernando</t>
  </si>
  <si>
    <t>Finley</t>
  </si>
  <si>
    <t>Fletcher</t>
  </si>
  <si>
    <t>Flynn</t>
  </si>
  <si>
    <t>Forrest</t>
  </si>
  <si>
    <t>Francis</t>
  </si>
  <si>
    <t>Francisco</t>
  </si>
  <si>
    <t>Frank</t>
  </si>
  <si>
    <t>Franklin</t>
  </si>
  <si>
    <t>Frederick</t>
  </si>
  <si>
    <t>Garrett</t>
  </si>
  <si>
    <t>Gary</t>
  </si>
  <si>
    <t>Gavin</t>
  </si>
  <si>
    <t>George</t>
  </si>
  <si>
    <t>Gerald</t>
  </si>
  <si>
    <t>Gideon</t>
  </si>
  <si>
    <t>Giovanni</t>
  </si>
  <si>
    <t>Graham</t>
  </si>
  <si>
    <t>Grant</t>
  </si>
  <si>
    <t>Gregory</t>
  </si>
  <si>
    <t>Griffin</t>
  </si>
  <si>
    <t>Harrison</t>
  </si>
  <si>
    <t>Harvey</t>
  </si>
  <si>
    <t>Hayden</t>
  </si>
  <si>
    <t>Hector</t>
  </si>
  <si>
    <t>Hudson</t>
  </si>
  <si>
    <t>Hugo</t>
  </si>
  <si>
    <t>Hunter</t>
  </si>
  <si>
    <t>Ivan</t>
  </si>
  <si>
    <t>Jace</t>
  </si>
  <si>
    <t>Jacob</t>
  </si>
  <si>
    <t>Jaden</t>
  </si>
  <si>
    <t>Jared</t>
  </si>
  <si>
    <t>Jason</t>
  </si>
  <si>
    <t>Jasper</t>
  </si>
  <si>
    <t>Javier</t>
  </si>
  <si>
    <t>Jax</t>
  </si>
  <si>
    <t>Jaxon</t>
  </si>
  <si>
    <t>Jayden</t>
  </si>
  <si>
    <t>Jeffrey</t>
  </si>
  <si>
    <t>Jeremy</t>
  </si>
  <si>
    <t>Jesse</t>
  </si>
  <si>
    <t>Joel</t>
  </si>
  <si>
    <t>John</t>
  </si>
  <si>
    <t>Jonathan</t>
  </si>
  <si>
    <t>Jordan</t>
  </si>
  <si>
    <t>Jorge</t>
  </si>
  <si>
    <t>Jose</t>
  </si>
  <si>
    <t>Joseph</t>
  </si>
  <si>
    <t>Joshua</t>
  </si>
  <si>
    <t>Josiah</t>
  </si>
  <si>
    <t>Juan</t>
  </si>
  <si>
    <t>Judah</t>
  </si>
  <si>
    <t>Justin</t>
  </si>
  <si>
    <t>Kai</t>
  </si>
  <si>
    <t>Kaiden</t>
  </si>
  <si>
    <t>Kaleb</t>
  </si>
  <si>
    <t>Kameron</t>
  </si>
  <si>
    <t>Kane</t>
  </si>
  <si>
    <t>Karl</t>
  </si>
  <si>
    <t>Keith</t>
  </si>
  <si>
    <t>Kevin</t>
  </si>
  <si>
    <t>Kingston</t>
  </si>
  <si>
    <t>Kyle</t>
  </si>
  <si>
    <t>Kyler</t>
  </si>
  <si>
    <t>Lance</t>
  </si>
  <si>
    <t>Landon</t>
  </si>
  <si>
    <t>Lawrence</t>
  </si>
  <si>
    <t>Lawson</t>
  </si>
  <si>
    <t>Leon</t>
  </si>
  <si>
    <t>Leonardo</t>
  </si>
  <si>
    <t>Lincoln</t>
  </si>
  <si>
    <t>Louis</t>
  </si>
  <si>
    <t>Luis</t>
  </si>
  <si>
    <t>Lukas</t>
  </si>
  <si>
    <t>Mack</t>
  </si>
  <si>
    <t>Madden</t>
  </si>
  <si>
    <t>Maddox</t>
  </si>
  <si>
    <t>Manuel</t>
  </si>
  <si>
    <t>Marcus</t>
  </si>
  <si>
    <t>Mario</t>
  </si>
  <si>
    <t>Mark</t>
  </si>
  <si>
    <t>Marshall</t>
  </si>
  <si>
    <t>Martin</t>
  </si>
  <si>
    <t>Marvin</t>
  </si>
  <si>
    <t>Mathew</t>
  </si>
  <si>
    <t>Mathias</t>
  </si>
  <si>
    <t>Matteo</t>
  </si>
  <si>
    <t>Matthew</t>
  </si>
  <si>
    <t>Matthias</t>
  </si>
  <si>
    <t>Maurice</t>
  </si>
  <si>
    <t>Maverick</t>
  </si>
  <si>
    <t>Max</t>
  </si>
  <si>
    <t>Maximillian</t>
  </si>
  <si>
    <t>Maxwell</t>
  </si>
  <si>
    <t>Miles</t>
  </si>
  <si>
    <t>Morgan</t>
  </si>
  <si>
    <t>Myles</t>
  </si>
  <si>
    <t>Omar</t>
  </si>
  <si>
    <t>Patrick</t>
  </si>
  <si>
    <t>Paul</t>
  </si>
  <si>
    <t>Peter</t>
  </si>
  <si>
    <t>Philip</t>
  </si>
  <si>
    <t>Preston</t>
  </si>
  <si>
    <t>Richard</t>
  </si>
  <si>
    <t>Robert</t>
  </si>
  <si>
    <t>Roman</t>
  </si>
  <si>
    <t>Ronald</t>
  </si>
  <si>
    <t>Sean</t>
  </si>
  <si>
    <t>Stephen</t>
  </si>
  <si>
    <t>Steven</t>
  </si>
  <si>
    <t>Abigail</t>
  </si>
  <si>
    <t>Adaline</t>
  </si>
  <si>
    <t>Adalyn</t>
  </si>
  <si>
    <t>Addison</t>
  </si>
  <si>
    <t>Adeline</t>
  </si>
  <si>
    <t>Adrienne</t>
  </si>
  <si>
    <t>Agatha</t>
  </si>
  <si>
    <t>Aila</t>
  </si>
  <si>
    <t>Aileen</t>
  </si>
  <si>
    <t>Ainsley</t>
  </si>
  <si>
    <t>Alana</t>
  </si>
  <si>
    <t>Alani</t>
  </si>
  <si>
    <t>Alannah</t>
  </si>
  <si>
    <t>Alexandra</t>
  </si>
  <si>
    <t>Alexandria</t>
  </si>
  <si>
    <t>Alexis</t>
  </si>
  <si>
    <t>Alicia</t>
  </si>
  <si>
    <t>Alina</t>
  </si>
  <si>
    <t>Alisa</t>
  </si>
  <si>
    <t>Alisha</t>
  </si>
  <si>
    <t>Allison</t>
  </si>
  <si>
    <t>Alma</t>
  </si>
  <si>
    <t>Alondra</t>
  </si>
  <si>
    <t>Alyssa</t>
  </si>
  <si>
    <t>Amara</t>
  </si>
  <si>
    <t>Amari</t>
  </si>
  <si>
    <t>Amayah</t>
  </si>
  <si>
    <t>Amber</t>
  </si>
  <si>
    <t>Amelie</t>
  </si>
  <si>
    <t>Amina</t>
  </si>
  <si>
    <t>Amira</t>
  </si>
  <si>
    <t>Amy</t>
  </si>
  <si>
    <t>Ana</t>
  </si>
  <si>
    <t>Anahi</t>
  </si>
  <si>
    <t>Anastasia</t>
  </si>
  <si>
    <t>Anaya</t>
  </si>
  <si>
    <t>Andrea</t>
  </si>
  <si>
    <t>Angela</t>
  </si>
  <si>
    <t>Angelica</t>
  </si>
  <si>
    <t>Angelina</t>
  </si>
  <si>
    <t>Angeline</t>
  </si>
  <si>
    <t>Anika</t>
  </si>
  <si>
    <t>Anita</t>
  </si>
  <si>
    <t>Aniya</t>
  </si>
  <si>
    <t>Ann</t>
  </si>
  <si>
    <t>Annabelle</t>
  </si>
  <si>
    <t>Annalise</t>
  </si>
  <si>
    <t>Anne</t>
  </si>
  <si>
    <t>Annette</t>
  </si>
  <si>
    <t>Annie</t>
  </si>
  <si>
    <t>Antonella</t>
  </si>
  <si>
    <t>Anya</t>
  </si>
  <si>
    <t>April</t>
  </si>
  <si>
    <t>Arabella</t>
  </si>
  <si>
    <t>Arden</t>
  </si>
  <si>
    <t>Ariadne</t>
  </si>
  <si>
    <t>Ariah</t>
  </si>
  <si>
    <t>Ariana</t>
  </si>
  <si>
    <t>Arianna</t>
  </si>
  <si>
    <t>Ariel</t>
  </si>
  <si>
    <t>Ariella</t>
  </si>
  <si>
    <t>Arielle</t>
  </si>
  <si>
    <t>Arisha</t>
  </si>
  <si>
    <t>Arla</t>
  </si>
  <si>
    <t>Arya</t>
  </si>
  <si>
    <t>Ashley</t>
  </si>
  <si>
    <t>Ashlyn</t>
  </si>
  <si>
    <t>Aspen</t>
  </si>
  <si>
    <t>Astrid</t>
  </si>
  <si>
    <t>Athena</t>
  </si>
  <si>
    <t>Aubree</t>
  </si>
  <si>
    <t>Aubrey</t>
  </si>
  <si>
    <t>Aubrie</t>
  </si>
  <si>
    <t>Avah</t>
  </si>
  <si>
    <t>Aviana</t>
  </si>
  <si>
    <t>Avianna</t>
  </si>
  <si>
    <t>Ayla</t>
  </si>
  <si>
    <t>Barbara</t>
  </si>
  <si>
    <t>Beatrice</t>
  </si>
  <si>
    <t>Brenda</t>
  </si>
  <si>
    <t>Briana</t>
  </si>
  <si>
    <t>Brianna</t>
  </si>
  <si>
    <t>Briar</t>
  </si>
  <si>
    <t>Bridget</t>
  </si>
  <si>
    <t>Brielle</t>
  </si>
  <si>
    <t>Brinley</t>
  </si>
  <si>
    <t>Bristol</t>
  </si>
  <si>
    <t>Brittany</t>
  </si>
  <si>
    <t>Brooke</t>
  </si>
  <si>
    <t>Brooklyn</t>
  </si>
  <si>
    <t>Brynn</t>
  </si>
  <si>
    <t>Cadence</t>
  </si>
  <si>
    <t>Cali</t>
  </si>
  <si>
    <t>Callie</t>
  </si>
  <si>
    <t>Calliope</t>
  </si>
  <si>
    <t>Camilla</t>
  </si>
  <si>
    <t>Camille</t>
  </si>
  <si>
    <t>Cara</t>
  </si>
  <si>
    <t>Carina</t>
  </si>
  <si>
    <t>Carla</t>
  </si>
  <si>
    <t>Carly</t>
  </si>
  <si>
    <t>Carmen</t>
  </si>
  <si>
    <t>Carolina</t>
  </si>
  <si>
    <t>Caroline</t>
  </si>
  <si>
    <t>Carolyn</t>
  </si>
  <si>
    <t>Casey</t>
  </si>
  <si>
    <t>Cassandra</t>
  </si>
  <si>
    <t>Cassidy</t>
  </si>
  <si>
    <t>Cataleya</t>
  </si>
  <si>
    <t>Catalina</t>
  </si>
  <si>
    <t>Catherine</t>
  </si>
  <si>
    <t>Cecelia</t>
  </si>
  <si>
    <t>Cecilia</t>
  </si>
  <si>
    <t>Celeste</t>
  </si>
  <si>
    <t>Celia</t>
  </si>
  <si>
    <t>Celine</t>
  </si>
  <si>
    <t>Chana</t>
  </si>
  <si>
    <t>Chandini</t>
  </si>
  <si>
    <t>Chanel</t>
  </si>
  <si>
    <t>Chaya</t>
  </si>
  <si>
    <t>Chelsea</t>
  </si>
  <si>
    <t>Cheyenne</t>
  </si>
  <si>
    <t>Christina</t>
  </si>
  <si>
    <t>Christine</t>
  </si>
  <si>
    <t>Clara</t>
  </si>
  <si>
    <t>Clarissa</t>
  </si>
  <si>
    <t>Claudia</t>
  </si>
  <si>
    <t>Clementine</t>
  </si>
  <si>
    <t>Colette</t>
  </si>
  <si>
    <t>Collins</t>
  </si>
  <si>
    <t>Connie</t>
  </si>
  <si>
    <t>Constance</t>
  </si>
  <si>
    <t>Courtney</t>
  </si>
  <si>
    <t>Crystal</t>
  </si>
  <si>
    <t>Cynthia</t>
  </si>
  <si>
    <t>Dahlia</t>
  </si>
  <si>
    <t>Daisy</t>
  </si>
  <si>
    <t>Dakota</t>
  </si>
  <si>
    <t>Dalary</t>
  </si>
  <si>
    <t>Dani</t>
  </si>
  <si>
    <t>Daniela</t>
  </si>
  <si>
    <t>Daniella</t>
  </si>
  <si>
    <t>Danielle</t>
  </si>
  <si>
    <t>Danna</t>
  </si>
  <si>
    <t>Daphne</t>
  </si>
  <si>
    <t>Davina</t>
  </si>
  <si>
    <t>Dawn</t>
  </si>
  <si>
    <t>Daya</t>
  </si>
  <si>
    <t>Deborah</t>
  </si>
  <si>
    <t>Delaney</t>
  </si>
  <si>
    <t>Delilah</t>
  </si>
  <si>
    <t>Della</t>
  </si>
  <si>
    <t>Demi</t>
  </si>
  <si>
    <t>Denise</t>
  </si>
  <si>
    <t>Destiny</t>
  </si>
  <si>
    <t>Diana</t>
  </si>
  <si>
    <t>Diane</t>
  </si>
  <si>
    <t>Dior</t>
  </si>
  <si>
    <t>Divya</t>
  </si>
  <si>
    <t>Dixie</t>
  </si>
  <si>
    <t>Dolly</t>
  </si>
  <si>
    <t>Dominique</t>
  </si>
  <si>
    <t>Dora</t>
  </si>
  <si>
    <t>Dorothy</t>
  </si>
  <si>
    <t>Dream</t>
  </si>
  <si>
    <t>Dulce</t>
  </si>
  <si>
    <t>Eden</t>
  </si>
  <si>
    <t>Edith</t>
  </si>
  <si>
    <t>Edna</t>
  </si>
  <si>
    <t>Eileen</t>
  </si>
  <si>
    <t>Elaine</t>
  </si>
  <si>
    <t>Eliana</t>
  </si>
  <si>
    <t>Elianna</t>
  </si>
  <si>
    <t>Elinor</t>
  </si>
  <si>
    <t>Elisa</t>
  </si>
  <si>
    <t>Elisabeth</t>
  </si>
  <si>
    <t>Elise</t>
  </si>
  <si>
    <t>Eliza</t>
  </si>
  <si>
    <t>Elle</t>
  </si>
  <si>
    <t>Ellen</t>
  </si>
  <si>
    <t>Elliana</t>
  </si>
  <si>
    <t>Ellie</t>
  </si>
  <si>
    <t>Elodie</t>
  </si>
  <si>
    <t>Eloise</t>
  </si>
  <si>
    <t>Elora</t>
  </si>
  <si>
    <t>Elsa</t>
  </si>
  <si>
    <t>Elsy</t>
  </si>
  <si>
    <t>Elyse</t>
  </si>
  <si>
    <t>Data Administrator</t>
  </si>
  <si>
    <t>Receptionist</t>
  </si>
  <si>
    <t>Office Manager</t>
  </si>
  <si>
    <t>Administrative Assistant</t>
  </si>
  <si>
    <t>Executive Assistant</t>
  </si>
  <si>
    <t>Operations Coordinator</t>
  </si>
  <si>
    <t>Operations Manager</t>
  </si>
  <si>
    <t>Director of Operations</t>
  </si>
  <si>
    <t>Facilities Manager</t>
  </si>
  <si>
    <t>Office Clerk</t>
  </si>
  <si>
    <t>Data Entry Specialist</t>
  </si>
  <si>
    <t>Mailroom Clerk</t>
  </si>
  <si>
    <t>Executive Secretary</t>
  </si>
  <si>
    <t>Virtual Assistant</t>
  </si>
  <si>
    <t>HR Assistant</t>
  </si>
  <si>
    <t>HR Coordinator</t>
  </si>
  <si>
    <t>HR Generalist</t>
  </si>
  <si>
    <t>HR Manager</t>
  </si>
  <si>
    <t>HR Director</t>
  </si>
  <si>
    <t>Chief Human Resources Officer (CHRO)</t>
  </si>
  <si>
    <t>Recruitment Specialist</t>
  </si>
  <si>
    <t>Talent Acquisition Manager</t>
  </si>
  <si>
    <t>Compensation &amp; Benefits Analyst</t>
  </si>
  <si>
    <t>Employee Relations Specialist</t>
  </si>
  <si>
    <t>Training &amp; Development Coordinato</t>
  </si>
  <si>
    <t>Accountant</t>
  </si>
  <si>
    <t>Senior Accountant</t>
  </si>
  <si>
    <t>Accounting Clerk</t>
  </si>
  <si>
    <t>Bookkeeper</t>
  </si>
  <si>
    <t>Accounts Payable Specialist</t>
  </si>
  <si>
    <t>Accounts Receivable Specialist</t>
  </si>
  <si>
    <t>Financial Analyst</t>
  </si>
  <si>
    <t>Finance Manager</t>
  </si>
  <si>
    <t>Finance Director</t>
  </si>
  <si>
    <t>Chief Financial Officer (CFO)</t>
  </si>
  <si>
    <t>Internal Auditor</t>
  </si>
  <si>
    <t>Tax Specialist</t>
  </si>
  <si>
    <t>Payroll Administrator</t>
  </si>
  <si>
    <t>Credit Controller</t>
  </si>
  <si>
    <t>IT Support Technician</t>
  </si>
  <si>
    <t>Help Desk Coordinator</t>
  </si>
  <si>
    <t>IT Systems Administrator</t>
  </si>
  <si>
    <t>Network Engineer</t>
  </si>
  <si>
    <t>IT Manager</t>
  </si>
  <si>
    <t>Chief Information Officer (CIO)</t>
  </si>
  <si>
    <t>Chief Technology Officer (CTO)</t>
  </si>
  <si>
    <t>Database Administrator (DBA)</t>
  </si>
  <si>
    <t>Cybersecurity Analyst</t>
  </si>
  <si>
    <t>Software Engineer</t>
  </si>
  <si>
    <t>IT Project Manager</t>
  </si>
  <si>
    <t>Marketing Coordinator</t>
  </si>
  <si>
    <t>Marketing Specialist</t>
  </si>
  <si>
    <t>Marketing Manager</t>
  </si>
  <si>
    <t>Marketing Director</t>
  </si>
  <si>
    <t>Chief Marketing Officer (CMO)</t>
  </si>
  <si>
    <t>Social Media Manager</t>
  </si>
  <si>
    <t>Content Strategist</t>
  </si>
  <si>
    <t>SEO Specialist</t>
  </si>
  <si>
    <t>Graphic Designer</t>
  </si>
  <si>
    <t>PR Specialist</t>
  </si>
  <si>
    <t>PR Manager</t>
  </si>
  <si>
    <t>Copywriter</t>
  </si>
  <si>
    <t>Sales Assistant</t>
  </si>
  <si>
    <t>Sales Associate</t>
  </si>
  <si>
    <t>Sales Executive</t>
  </si>
  <si>
    <t>Sales Manager</t>
  </si>
  <si>
    <t>VP of Sales</t>
  </si>
  <si>
    <t>Account Manager</t>
  </si>
  <si>
    <t>Key Account Manager</t>
  </si>
  <si>
    <t>Account Executive</t>
  </si>
  <si>
    <t>Business Development Representative (BDR)</t>
  </si>
  <si>
    <t>Customer Service Representative</t>
  </si>
  <si>
    <t>Customer Support Specialist</t>
  </si>
  <si>
    <t>Customer Service Team Lead</t>
  </si>
  <si>
    <t>Customer Service Manager</t>
  </si>
  <si>
    <t>Customer Success Manager</t>
  </si>
  <si>
    <t>Technical Support Specialist</t>
  </si>
  <si>
    <t>Legal Assistant</t>
  </si>
  <si>
    <t>Paralegal</t>
  </si>
  <si>
    <t>Corporate Lawyer</t>
  </si>
  <si>
    <t>Legal Counsel</t>
  </si>
  <si>
    <t>Chief Legal Officer (CLO)</t>
  </si>
  <si>
    <t>Compliance Officer</t>
  </si>
  <si>
    <t>Compliance Manager</t>
  </si>
  <si>
    <t>Chief Executive Officer (CEO)</t>
  </si>
  <si>
    <t>Chief Operating Officer (COO)</t>
  </si>
  <si>
    <t>Managing Director</t>
  </si>
  <si>
    <t>Executive Vice President (EVP)</t>
  </si>
  <si>
    <t>Project Coordinator</t>
  </si>
  <si>
    <t>Project Manager</t>
  </si>
  <si>
    <t>Program Manager</t>
  </si>
  <si>
    <t>Product Owner</t>
  </si>
  <si>
    <t>India</t>
  </si>
  <si>
    <t>Oman</t>
  </si>
  <si>
    <t>Germany</t>
  </si>
  <si>
    <t>Russia</t>
  </si>
  <si>
    <t>USA</t>
  </si>
  <si>
    <t>Date of Joining</t>
  </si>
  <si>
    <t>Salary</t>
  </si>
  <si>
    <t>UK</t>
  </si>
  <si>
    <t>Pakistan</t>
  </si>
  <si>
    <t>China</t>
  </si>
  <si>
    <t>Algeria</t>
  </si>
  <si>
    <t>Iraq</t>
  </si>
  <si>
    <t>Nepal</t>
  </si>
  <si>
    <t>Philipines</t>
  </si>
  <si>
    <t>Total Years Of Work</t>
  </si>
  <si>
    <t>Employee D.O.B</t>
  </si>
  <si>
    <t>Row Labels</t>
  </si>
  <si>
    <t>Grand Total</t>
  </si>
  <si>
    <t>Sum of Employee Id</t>
  </si>
  <si>
    <t>Average of Salary</t>
  </si>
  <si>
    <t>Average of Total Years Of Work</t>
  </si>
  <si>
    <t>2000</t>
  </si>
  <si>
    <t>Feb</t>
  </si>
  <si>
    <t>Apr</t>
  </si>
  <si>
    <t>Jul</t>
  </si>
  <si>
    <t>Oct</t>
  </si>
  <si>
    <t>Nov</t>
  </si>
  <si>
    <t>2001</t>
  </si>
  <si>
    <t>Mar</t>
  </si>
  <si>
    <t>May</t>
  </si>
  <si>
    <t>Sep</t>
  </si>
  <si>
    <t>Dec</t>
  </si>
  <si>
    <t>2002</t>
  </si>
  <si>
    <t>Jan</t>
  </si>
  <si>
    <t>Jun</t>
  </si>
  <si>
    <t>Aug</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</si>
  <si>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</si>
  <si>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</si>
  <si>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</si>
  <si>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</si>
  <si>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</si>
  <si>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</si>
  <si>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</si>
  <si>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</si>
  <si>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</si>
  <si>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</si>
  <si>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</si>
  <si>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</si>
  <si>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</si>
  <si>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</si>
  <si>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</si>
  <si>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</si>
  <si>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</si>
  <si>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</si>
  <si>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</si>
  <si>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</si>
  <si>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</si>
  <si>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</si>
  <si>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Count of Employee Id</t>
  </si>
  <si>
    <t>Employee Workforce &amp; Salary Overview</t>
  </si>
  <si>
    <t>TOTAL EMPLOYEES</t>
  </si>
  <si>
    <t>AVERAGE SALARY</t>
  </si>
  <si>
    <t>$7,511</t>
  </si>
  <si>
    <t>HIGHEST SALARY</t>
  </si>
  <si>
    <t>NATIONALITIES</t>
  </si>
  <si>
    <t>HR EMPLOYEE ANALYTICS DASHBOARD</t>
  </si>
  <si>
    <t>AVERAGE EXPERIENCE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</si>
</sst>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14009]dd/mm/yyyy;@"/>
    <numFmt numFmtId="166" formatCode="0.0"/>
    <numFmt numFmtId="167" formatCode="[$$-409]#,##0"/>
  </numFmts>
  <fonts count="7" x14ac:knownFonts="1">
    <font>
      <sz val="11"/>
      <color theme="1"/>
      <name val="Aptos Narrow"/>
      <family val="2"/>
      <scheme val="minor"/>
    </font>
    <font>
      <sz val="12"/>
      <color theme="1"/>
      <name val="Arial"/>
      <family val="2"/>
    </font>
    <font>
      <b/>
      <sz val="14"/>
      <color theme="1"/>
      <name val="Aptos Narrow"/>
      <family val="2"/>
      <scheme val="minor"/>
    </font>
    <font>
      <b/>
      <sz val="20"/>
      <color theme="1"/>
      <name val="Aptos Narrow"/>
      <family val="2"/>
      <scheme val="minor"/>
    </font>
    <font>
      <b/>
      <sz val="11"/>
      <color theme="1"/>
      <name val="Aptos Narrow"/>
      <family val="2"/>
      <scheme val="minor"/>
    </font>
    <font>
      <b/>
      <sz val="18"/>
      <color theme="1"/>
      <name val="Aptos Narrow"/>
      <family val="2"/>
      <scheme val="minor"/>
    </font>
    <font>
      <b/>
      <sz val="26"/>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5">
    <xf numFmtId="0" fontId="0" fillId="0" borderId="0" xfId="0"/>
    <xf numFmtId="1"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vertical="top"/>
    </xf>
    <xf numFmtId="0" fontId="2" fillId="2" borderId="0" xfId="0" applyFont="1" applyFill="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165" fontId="2" fillId="2" borderId="0" xfId="0" applyNumberFormat="1" applyFont="1" applyFill="1" applyAlignment="1">
      <alignment vertical="top"/>
    </xf>
    <xf numFmtId="165" fontId="0" fillId="0" borderId="0" xfId="0" applyNumberFormat="1" applyAlignment="1">
      <alignment horizontal="center" vertical="center"/>
    </xf>
    <xf numFmtId="165" fontId="0" fillId="0" borderId="0" xfId="0" applyNumberFormat="1"/>
    <xf numFmtId="0" fontId="3" fillId="0" borderId="0" xfId="0" applyFont="1"/>
    <xf numFmtId="0" fontId="4" fillId="0" borderId="0" xfId="0" applyFont="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0" fontId="0" fillId="0" borderId="0" xfId="0" applyNumberFormat="1"/>
  </cellXfs>
  <cellStyles count="1">
    <cellStyle name="Normal" xfId="0" builtinId="0"/>
  </cellStyles>
  <dxfs count="10">
    <dxf>
      <numFmt numFmtId="19" formatCode="dd/mm/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numFmt numFmtId="165" formatCode="[$-14009]dd/mm/yyyy;@"/>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fill>
        <patternFill patternType="solid">
          <fgColor indexed="64"/>
          <bgColor theme="4" tint="0.59999389629810485"/>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[alan copy.xlsx]Pivot Analysis!PT_Employees_Nationality</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Employee Distribution by Nationality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Analysis'!$B$4:$B$16</c:f>
              <c:strCache>
                <c:ptCount val="12"/>
                <c:pt idx="0">
                  <c:v>Algeria</c:v>
                </c:pt>
                <c:pt idx="1">
                  <c:v>China</c:v>
                </c:pt>
                <c:pt idx="2">
                  <c:v>Germany</c:v>
                </c:pt>
                <c:pt idx="3">
                  <c:v>India</c:v>
                </c:pt>
                <c:pt idx="4">
                  <c:v>Iraq</c:v>
                </c:pt>
                <c:pt idx="5">
                  <c:v>Nepal</c:v>
                </c:pt>
                <c:pt idx="6">
                  <c:v>Oman</c:v>
                </c:pt>
                <c:pt idx="7">
                  <c:v>Pakistan</c:v>
                </c:pt>
                <c:pt idx="8">
                  <c:v>Philipines</c:v>
                </c:pt>
                <c:pt idx="9">
                  <c:v>Russia</c:v>
                </c:pt>
                <c:pt idx="10">
                  <c:v>UK</c:v>
                </c:pt>
                <c:pt idx="11">
                  <c:v>USA</c:v>
                </c:pt>
              </c:strCache>
            </c:strRef>
          </c:cat>
          <c:val>
            <c:numRef>
              <c:f>'Pivot Analysis'!$C$4:$C$16</c:f>
              <c:numCache>
                <c:formatCode>General</c:formatCode>
                <c:ptCount val="12"/>
                <c:pt idx="0">
                  <c:v>19</c:v>
                </c:pt>
                <c:pt idx="1">
                  <c:v>21</c:v>
                </c:pt>
                <c:pt idx="2">
                  <c:v>30</c:v>
                </c:pt>
                <c:pt idx="3">
                  <c:v>69</c:v>
                </c:pt>
                <c:pt idx="4">
                  <c:v>18</c:v>
                </c:pt>
                <c:pt idx="5">
                  <c:v>21</c:v>
                </c:pt>
                <c:pt idx="6">
                  <c:v>111</c:v>
                </c:pt>
                <c:pt idx="7">
                  <c:v>24</c:v>
                </c:pt>
                <c:pt idx="8">
                  <c:v>40</c:v>
                </c:pt>
                <c:pt idx="9">
                  <c:v>48</c:v>
                </c:pt>
                <c:pt idx="10">
                  <c:v>49</c:v>
                </c:pt>
                <c:pt idx="11">
                  <c:v>37</c:v>
                </c:pt>
              </c:numCache>
            </c:numRef>
          </c:val>
          <c:extLst>
            <c:ext xmlns:c16="http://schemas.microsoft.com/office/drawing/2014/chart" uri="{C3380CC4-5D6E-409C-BE32-E72D297353CC}">
              <c16:uniqueId val="{00000000-8F9E-4120-84EF-B084B2DE4D68}"/>
            </c:ext>
          </c:extLst>
        </c:ser>
        <c:dLbls>
          <c:showLegendKey val="0"/>
          <c:showVal val="0"/>
          <c:showCatName val="0"/>
          <c:showSerName val="0"/>
          <c:showPercent val="0"/>
          <c:showBubbleSize val="0"/>
        </c:dLbls>
        <c:gapWidth val="315"/>
        <c:overlap val="-40"/>
        <c:axId val="411039247"/>
        <c:axId val="440433295"/>
      </c:barChart>
      <c:catAx>
        <c:axId val="4110392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433295"/>
        <c:crosses val="autoZero"/>
        <c:auto val="1"/>
        <c:lblAlgn val="ctr"/>
        <c:lblOffset val="100"/>
        <c:noMultiLvlLbl val="0"/>
      </c:catAx>
      <c:valAx>
        <c:axId val="440433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10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[alan copy.xlsx]Pivot Analysis!PivotTable5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Positions by Average Salary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Analysis'!$C$19</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Analysis'!$B$20:$B$30</c:f>
              <c:strCache>
                <c:ptCount val="10"/>
                <c:pt idx="0">
                  <c:v>Chief Executive Officer (CEO)</c:v>
                </c:pt>
                <c:pt idx="1">
                  <c:v>Chief Legal Officer (CLO)</c:v>
                </c:pt>
                <c:pt idx="2">
                  <c:v>Chief Operating Officer (COO)</c:v>
                </c:pt>
                <c:pt idx="3">
                  <c:v>Compliance Manager</c:v>
                </c:pt>
                <c:pt idx="4">
                  <c:v>Compliance Officer</c:v>
                </c:pt>
                <c:pt idx="5">
                  <c:v>Executive Vice President (EVP)</c:v>
                </c:pt>
                <c:pt idx="6">
                  <c:v>Managing Director</c:v>
                </c:pt>
                <c:pt idx="7">
                  <c:v>Product Owner</c:v>
                </c:pt>
                <c:pt idx="8">
                  <c:v>Program Manager</c:v>
                </c:pt>
                <c:pt idx="9">
                  <c:v>Project Manager</c:v>
                </c:pt>
              </c:strCache>
            </c:strRef>
          </c:cat>
          <c:val>
            <c:numRef>
              <c:f>'Pivot Analysis'!$C$20:$C$30</c:f>
              <c:numCache>
                <c:formatCode>"$"#,##0</c:formatCode>
                <c:ptCount val="10"/>
                <c:pt idx="0">
                  <c:v>15538</c:v>
                </c:pt>
                <c:pt idx="1">
                  <c:v>15246</c:v>
                </c:pt>
                <c:pt idx="2">
                  <c:v>16219</c:v>
                </c:pt>
                <c:pt idx="3">
                  <c:v>15348</c:v>
                </c:pt>
                <c:pt idx="4">
                  <c:v>15325</c:v>
                </c:pt>
                <c:pt idx="5">
                  <c:v>16535</c:v>
                </c:pt>
                <c:pt idx="6">
                  <c:v>16357</c:v>
                </c:pt>
                <c:pt idx="7">
                  <c:v>18059</c:v>
                </c:pt>
                <c:pt idx="8">
                  <c:v>17858</c:v>
                </c:pt>
                <c:pt idx="9">
                  <c:v>16647</c:v>
                </c:pt>
              </c:numCache>
            </c:numRef>
          </c:val>
          <c:extLst>
            <c:ext xmlns:c16="http://schemas.microsoft.com/office/drawing/2014/chart" uri="{C3380CC4-5D6E-409C-BE32-E72D297353CC}">
              <c16:uniqueId val="{00000000-B416-49CB-87C1-B50F1B8666B8}"/>
            </c:ext>
          </c:extLst>
        </c:ser>
        <c:dLbls>
          <c:showLegendKey val="0"/>
          <c:showVal val="0"/>
          <c:showCatName val="0"/>
          <c:showSerName val="0"/>
          <c:showPercent val="0"/>
          <c:showBubbleSize val="0"/>
        </c:dLbls>
        <c:gapWidth val="182"/>
        <c:overlap val="-50"/>
        <c:axId val="569368063"/>
        <c:axId val="426893743"/>
      </c:barChart>
      <c:catAx>
        <c:axId val="56936806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893743"/>
        <c:crosses val="autoZero"/>
        <c:auto val="1"/>
        <c:lblAlgn val="ctr"/>
        <c:lblOffset val="100"/>
        <c:noMultiLvlLbl val="0"/>
      </c:catAx>
      <c:valAx>
        <c:axId val="4268937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936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[alan copy.xlsx]Pivot Analysis!PivotTable4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Positions by Employee 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Analysis'!$F$3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Analysis'!$E$4:$E$14</c:f>
              <c:strCache>
                <c:ptCount val="10"/>
                <c:pt idx="0">
                  <c:v>Accounts Payable Specialist</c:v>
                </c:pt>
                <c:pt idx="1">
                  <c:v>Credit Controller</c:v>
                </c:pt>
                <c:pt idx="2">
                  <c:v>Cybersecurity Analyst</c:v>
                </c:pt>
                <c:pt idx="3">
                  <c:v>Data Entry Specialist</c:v>
                </c:pt>
                <c:pt idx="4">
                  <c:v>HR Assistant</c:v>
                </c:pt>
                <c:pt idx="5">
                  <c:v>IT Systems Administrator</c:v>
                </c:pt>
                <c:pt idx="6">
                  <c:v>Office Clerk</c:v>
                </c:pt>
                <c:pt idx="7">
                  <c:v>Recruitment Specialist</c:v>
                </c:pt>
                <c:pt idx="8">
                  <c:v>Sales Assistant</c:v>
                </c:pt>
                <c:pt idx="9">
                  <c:v>Sales Associate</c:v>
                </c:pt>
              </c:strCache>
            </c:strRef>
          </c:cat>
          <c:val>
            <c:numRef>
              <c:f>'Pivot Analysis'!$F$4:$F$14</c:f>
              <c:numCache>
                <c:formatCode>General</c:formatCode>
                <c:ptCount val="10"/>
                <c:pt idx="0">
                  <c:v>38</c:v>
                </c:pt>
                <c:pt idx="1">
                  <c:v>20</c:v>
                </c:pt>
                <c:pt idx="2">
                  <c:v>20</c:v>
                </c:pt>
                <c:pt idx="3">
                  <c:v>22</c:v>
                </c:pt>
                <c:pt idx="4">
                  <c:v>21</c:v>
                </c:pt>
                <c:pt idx="5">
                  <c:v>26</c:v>
                </c:pt>
                <c:pt idx="6">
                  <c:v>25</c:v>
                </c:pt>
                <c:pt idx="7">
                  <c:v>20</c:v>
                </c:pt>
                <c:pt idx="8">
                  <c:v>36</c:v>
                </c:pt>
                <c:pt idx="9">
                  <c:v>24</c:v>
                </c:pt>
              </c:numCache>
            </c:numRef>
          </c:val>
          <c:extLst>
            <c:ext xmlns:c16="http://schemas.microsoft.com/office/drawing/2014/chart" uri="{C3380CC4-5D6E-409C-BE32-E72D297353CC}">
              <c16:uniqueId val="{00000000-A519-4F6F-905B-3B831EE2F2F3}"/>
            </c:ext>
          </c:extLst>
        </c:ser>
        <c:dLbls>
          <c:showLegendKey val="0"/>
          <c:showVal val="0"/>
          <c:showCatName val="0"/>
          <c:showSerName val="0"/>
          <c:showPercent val="0"/>
          <c:showBubbleSize val="0"/>
        </c:dLbls>
        <c:gapWidth val="182"/>
        <c:overlap val="-50"/>
        <c:axId val="794796463"/>
        <c:axId val="440424655"/>
      </c:barChart>
      <c:catAx>
        <c:axId val="79479646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424655"/>
        <c:crosses val="autoZero"/>
        <c:auto val="1"/>
        <c:lblAlgn val="ctr"/>
        <c:lblOffset val="100"/>
        <c:noMultiLvlLbl val="0"/>
      </c:catAx>
      <c:valAx>
        <c:axId val="4404246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79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9524</xdr:colOff>
      <xdr:row>8</xdr:row>
      <xdr:rowOff>9524</xdr:rowOff>
    </xdr:from>
    <xdr:to>
      <xdr:col>5</xdr:col>
      <xdr:colOff>1012371</xdr:colOff>
      <xdr:row>26</xdr:row>
      <xdr:rowOff>21772</xdr:rowOff>
    </xdr:to>
    <xdr:graphicFrame macro="">
      <xdr:nvGraphicFramePr>
        <xdr:cNvPr id="2" name="Chart 1">
          <a:extLst>
            <a:ext uri="{FF2B5EF4-FFF2-40B4-BE49-F238E27FC236}">
              <a16:creationId xmlns:a16="http://schemas.microsoft.com/office/drawing/2014/main" id="{D6503AD7-D9CB-49F6-90B1-A9A6596A9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20954</xdr:colOff>
      <xdr:row>8</xdr:row>
      <xdr:rowOff>0</xdr:rowOff>
    </xdr:from>
    <xdr:to>
      <xdr:col>12</xdr:col>
      <xdr:colOff>539750</xdr:colOff>
      <xdr:row>43</xdr:row>
      <xdr:rowOff>150812</xdr:rowOff>
    </xdr:to>
    <xdr:graphicFrame macro="">
      <xdr:nvGraphicFramePr>
        <xdr:cNvPr id="3" name="Chart 2">
          <a:extLst>
            <a:ext uri="{FF2B5EF4-FFF2-40B4-BE49-F238E27FC236}">
              <a16:creationId xmlns:a16="http://schemas.microsoft.com/office/drawing/2014/main" id="{632E1D39-0435-48D9-884F-562C85894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43542</xdr:rowOff>
    </xdr:from>
    <xdr:to>
      <xdr:col>5</xdr:col>
      <xdr:colOff>1001484</xdr:colOff>
      <xdr:row>43</xdr:row>
      <xdr:rowOff>185055</xdr:rowOff>
    </xdr:to>
    <xdr:graphicFrame macro="">
      <xdr:nvGraphicFramePr>
        <xdr:cNvPr id="4" name="Chart 3">
          <a:extLst>
            <a:ext uri="{FF2B5EF4-FFF2-40B4-BE49-F238E27FC236}">
              <a16:creationId xmlns:a16="http://schemas.microsoft.com/office/drawing/2014/main" id="{B37ADD18-62F4-447C-AA8A-E4111DE08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179468</xdr:rowOff>
    </xdr:from>
    <xdr:to>
      <xdr:col>0</xdr:col>
      <xdr:colOff>1412875</xdr:colOff>
      <xdr:row>25</xdr:row>
      <xdr:rowOff>71437</xdr:rowOff>
    </xdr:to>
    <mc:AlternateContent xmlns:mc="http://schemas.openxmlformats.org/markup-compatibility/2006">
      <mc:Choice xmlns:a14="http://schemas.microsoft.com/office/drawing/2010/main" Requires="a14">
        <xdr:graphicFrame macro="">
          <xdr:nvGraphicFramePr>
            <xdr:cNvPr id="6" name="Position">
              <a:extLst>
                <a:ext uri="{FF2B5EF4-FFF2-40B4-BE49-F238E27FC236}">
                  <a16:creationId xmlns:a16="http://schemas.microsoft.com/office/drawing/2014/main" id="{9CBC62B2-CB0C-441F-96F5-81921F50B0B2}"/>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dr:sp macro="" textlink="">
          <xdr:nvSpPr>
            <xdr:cNvPr id="0" name=""/>
            <xdr:cNvSpPr>
              <a:spLocks noTextEdit="1"/>
            </xdr:cNvSpPr>
          </xdr:nvSpPr>
          <xdr:spPr>
            <a:xfrm>
              <a:off x="0" y="2298781"/>
              <a:ext cx="1412875" cy="3178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141254</xdr:rowOff>
    </xdr:from>
    <xdr:to>
      <xdr:col>0</xdr:col>
      <xdr:colOff>1381125</xdr:colOff>
      <xdr:row>43</xdr:row>
      <xdr:rowOff>158750</xdr:rowOff>
    </xdr:to>
    <mc:AlternateContent xmlns:mc="http://schemas.openxmlformats.org/markup-compatibility/2006">
      <mc:Choice xmlns:a14="http://schemas.microsoft.com/office/drawing/2010/main" Requires="a14">
        <xdr:graphicFrame macro="">
          <xdr:nvGraphicFramePr>
            <xdr:cNvPr id="7" name="Nationality">
              <a:extLst>
                <a:ext uri="{FF2B5EF4-FFF2-40B4-BE49-F238E27FC236}">
                  <a16:creationId xmlns:a16="http://schemas.microsoft.com/office/drawing/2014/main" id="{D3FBE76B-C606-4DC9-BCE4-40C42BBC0180}"/>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dr:sp macro="" textlink="">
          <xdr:nvSpPr>
            <xdr:cNvPr id="0" name=""/>
            <xdr:cNvSpPr>
              <a:spLocks noTextEdit="1"/>
            </xdr:cNvSpPr>
          </xdr:nvSpPr>
          <xdr:spPr>
            <a:xfrm>
              <a:off x="0" y="5546692"/>
              <a:ext cx="1381125" cy="3303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n Noble" refreshedDate="46246.791121527778" createdVersion="8" refreshedVersion="8" minRefreshableVersion="3" recordCount="487" xr:uid="{CB3F68C5-3C41-456B-BB49-8B77468D382B}">
  <cacheSource type="worksheet">
    <worksheetSource name="EmployeeData"/>
  </cacheSource>
  <cacheFields count="10">
    <cacheField name="Employee Id" numFmtId="0">
      <sharedItems containsSemiMixedTypes="0" containsString="0" containsNumber="1" containsInteger="1" minValue="1001" maxValue="1487"/>
    </cacheField>
    <cacheField name="Employee Name" numFmtId="0">
      <sharedItems/>
    </cacheField>
    <cacheField name="Position" numFmtId="0">
      <sharedItems count="92">
        <s v="Accountant"/>
        <s v="Executive Assistant"/>
        <s v="Virtual Assistant"/>
        <s v="Legal Counsel"/>
        <s v="Sales Assistant"/>
        <s v="IT Support Technician"/>
        <s v="Accounts Payable Specialist"/>
        <s v="Accounting Clerk"/>
        <s v="IT Systems Administrator"/>
        <s v="Office Clerk"/>
        <s v="Recruitment Specialist"/>
        <s v="Receptionist"/>
        <s v="Cybersecurity Analyst"/>
        <s v="Sales Associate"/>
        <s v="Accounts Receivable Specialist"/>
        <s v="Chief Human Resources Officer (CHRO)"/>
        <s v="Internal Auditor"/>
        <s v="Senior Accountant"/>
        <s v="HR Generalist"/>
        <s v="HR Coordinator"/>
        <s v="HR Assistant"/>
        <s v="Data Entry Specialist"/>
        <s v="Data Administrator"/>
        <s v="Marketing Director"/>
        <s v="Project Coordinator"/>
        <s v="Credit Controller"/>
        <s v="Bookkeeper"/>
        <s v="Compliance Officer"/>
        <s v="Paralegal"/>
        <s v="Software Engineer"/>
        <s v="Account Manager"/>
        <s v="Compliance Manager"/>
        <s v="Help Desk Coordinator"/>
        <s v="Marketing Specialist"/>
        <s v="Customer Support Specialist"/>
        <s v="Financial Analyst"/>
        <s v="Legal Assistant"/>
        <s v="Executive Vice President (EVP)"/>
        <s v="Chief Information Officer (CIO)"/>
        <s v="Marketing Coordinator"/>
        <s v="Tax Specialist"/>
        <s v="Executive Secretary"/>
        <s v="Sales Manager"/>
        <s v="Customer Service Team Lead"/>
        <s v="Facilities Manager"/>
        <s v="Operations Manager"/>
        <s v="Program Manager"/>
        <s v="Finance Manager"/>
        <s v="Chief Executive Officer (CEO)"/>
        <s v="PR Manager"/>
        <s v="Account Executive"/>
        <s v="Graphic Designer"/>
        <s v="Marketing Manager"/>
        <s v="PR Specialist"/>
        <s v="Office Manager"/>
        <s v="Key Account Manager"/>
        <s v="Project Manager"/>
        <s v="Customer Service Manager"/>
        <s v="Technical Support Specialist"/>
        <s v="Director of Operations"/>
        <s v="Corporate Lawyer"/>
        <s v="Mailroom Clerk"/>
        <s v="Chief Legal Officer (CLO)"/>
        <s v="Content Strategist"/>
        <s v="IT Manager"/>
        <s v="Training &amp; Development Coordinato"/>
        <s v="Database Administrator (DBA)"/>
        <s v="Product Owner"/>
        <s v="Managing Director"/>
        <s v="HR Manager"/>
        <s v="SEO Specialist"/>
        <s v="Payroll Administrator"/>
        <s v="VP of Sales"/>
        <s v="Customer Success Manager"/>
        <s v="HR Director"/>
        <s v="Business Development Representative (BDR)"/>
        <s v="Chief Technology Officer (CTO)"/>
        <s v="Copywriter"/>
        <s v="Employee Relations Specialist"/>
        <s v="Network Engineer"/>
        <s v="Talent Acquisition Manager"/>
        <s v="Sales Executive"/>
        <s v="Operations Coordinator"/>
        <s v="Chief Operating Officer (COO)"/>
        <s v="Compensation &amp; Benefits Analyst"/>
        <s v="Chief Financial Officer (CFO)"/>
        <s v="Customer Service Representative"/>
        <s v="Social Media Manager"/>
        <s v="IT Project Manager"/>
        <s v="Chief Marketing Officer (CMO)"/>
        <s v="Finance Director"/>
        <s v="Administrative Assistant"/>
      </sharedItems>
    </cacheField>
    <cacheField name="Nationality" numFmtId="0">
      <sharedItems count="12">
        <s v="Russia"/>
        <s v="Oman"/>
        <s v="Philipines"/>
        <s v="China"/>
        <s v="UK"/>
        <s v="Iraq"/>
        <s v="USA"/>
        <s v="Algeria"/>
        <s v="India"/>
        <s v="Pakistan"/>
        <s v="Germany"/>
        <s v="Nepal"/>
      </sharedItems>
    </cacheField>
    <cacheField name="Date of Joining" numFmtId="0">
      <sharedItems containsSemiMixedTypes="0" containsNonDate="0" containsDate="1" containsString="0" minDate="2000-02-23T00:00:00" maxDate="2024-05-04T00:00:00" count="180">
        <d v="2015-05-04T00:00:00"/>
        <d v="2011-12-23T00:00:00"/>
        <d v="2012-04-01T00:00:00"/>
        <d v="2023-01-23T00:00:00"/>
        <d v="2009-07-15T00:00:00"/>
        <d v="2021-10-10T00:00:00"/>
        <d v="2002-08-22T00:00:00"/>
        <d v="2019-08-26T00:00:00"/>
        <d v="2002-10-02T00:00:00"/>
        <d v="2011-12-20T00:00:00"/>
        <d v="2016-04-13T00:00:00"/>
        <d v="2014-10-27T00:00:00"/>
        <d v="2013-01-03T00:00:00"/>
        <d v="2004-01-08T00:00:00"/>
        <d v="2024-01-20T00:00:00"/>
        <d v="2010-10-21T00:00:00"/>
        <d v="2002-07-08T00:00:00"/>
        <d v="2013-05-21T00:00:00"/>
        <d v="2009-08-28T00:00:00"/>
        <d v="2019-03-07T00:00:00"/>
        <d v="2005-07-08T00:00:00"/>
        <d v="2001-09-06T00:00:00"/>
        <d v="2000-02-23T00:00:00"/>
        <d v="2000-10-12T00:00:00"/>
        <d v="2001-10-03T00:00:00"/>
        <d v="2003-09-03T00:00:00"/>
        <d v="2015-02-03T00:00:00"/>
        <d v="2015-06-04T00:00:00"/>
        <d v="2022-09-10T00:00:00"/>
        <d v="2013-02-24T00:00:00"/>
        <d v="2017-11-24T00:00:00"/>
        <d v="2021-10-19T00:00:00"/>
        <d v="2010-09-28T00:00:00"/>
        <d v="2020-09-25T00:00:00"/>
        <d v="2001-04-06T00:00:00"/>
        <d v="2007-04-18T00:00:00"/>
        <d v="2009-02-11T00:00:00"/>
        <d v="2010-11-06T00:00:00"/>
        <d v="2011-11-21T00:00:00"/>
        <d v="2004-06-08T00:00:00"/>
        <d v="2004-03-15T00:00:00"/>
        <d v="2012-06-23T00:00:00"/>
        <d v="2009-10-22T00:00:00"/>
        <d v="2010-04-09T00:00:00"/>
        <d v="2004-01-12T00:00:00"/>
        <d v="2014-02-24T00:00:00"/>
        <d v="2017-12-02T00:00:00"/>
        <d v="2018-12-16T00:00:00"/>
        <d v="2003-07-15T00:00:00"/>
        <d v="2014-07-19T00:00:00"/>
        <d v="2020-08-05T00:00:00"/>
        <d v="2015-08-12T00:00:00"/>
        <d v="2007-03-31T00:00:00"/>
        <d v="2020-02-24T00:00:00"/>
        <d v="2001-03-05T00:00:00"/>
        <d v="2016-12-23T00:00:00"/>
        <d v="2017-01-15T00:00:00"/>
        <d v="2006-06-04T00:00:00"/>
        <d v="2001-05-29T00:00:00"/>
        <d v="2008-06-01T00:00:00"/>
        <d v="2019-03-21T00:00:00"/>
        <d v="2017-12-29T00:00:00"/>
        <d v="2004-03-05T00:00:00"/>
        <d v="2000-10-01T00:00:00"/>
        <d v="2002-05-07T00:00:00"/>
        <d v="2004-02-28T00:00:00"/>
        <d v="2000-04-27T00:00:00"/>
        <d v="2009-06-18T00:00:00"/>
        <d v="2006-05-29T00:00:00"/>
        <d v="2008-08-16T00:00:00"/>
        <d v="2010-03-22T00:00:00"/>
        <d v="2022-06-15T00:00:00"/>
        <d v="2018-12-24T00:00:00"/>
        <d v="2020-02-04T00:00:00"/>
        <d v="2003-07-31T00:00:00"/>
        <d v="2005-04-10T00:00:00"/>
        <d v="2010-08-06T00:00:00"/>
        <d v="2015-05-02T00:00:00"/>
        <d v="2005-06-01T00:00:00"/>
        <d v="2011-12-11T00:00:00"/>
        <d v="2003-09-01T00:00:00"/>
        <d v="2006-12-22T00:00:00"/>
        <d v="2009-08-01T00:00:00"/>
        <d v="2010-12-26T00:00:00"/>
        <d v="2008-02-12T00:00:00"/>
        <d v="2017-05-04T00:00:00"/>
        <d v="2012-09-02T00:00:00"/>
        <d v="2014-11-02T00:00:00"/>
        <d v="2004-01-29T00:00:00"/>
        <d v="2003-07-02T00:00:00"/>
        <d v="2009-11-17T00:00:00"/>
        <d v="2001-02-13T00:00:00"/>
        <d v="2023-09-26T00:00:00"/>
        <d v="2022-02-19T00:00:00"/>
        <d v="2006-09-11T00:00:00"/>
        <d v="2001-12-12T00:00:00"/>
        <d v="2007-05-29T00:00:00"/>
        <d v="2023-03-20T00:00:00"/>
        <d v="2010-08-04T00:00:00"/>
        <d v="2008-01-12T00:00:00"/>
        <d v="2009-05-25T00:00:00"/>
        <d v="2020-12-29T00:00:00"/>
        <d v="2018-08-12T00:00:00"/>
        <d v="2004-09-10T00:00:00"/>
        <d v="2003-11-25T00:00:00"/>
        <d v="2000-11-15T00:00:00"/>
        <d v="2000-04-16T00:00:00"/>
        <d v="2017-11-30T00:00:00"/>
        <d v="2020-10-08T00:00:00"/>
        <d v="2023-12-17T00:00:00"/>
        <d v="2014-07-16T00:00:00"/>
        <d v="2017-07-01T00:00:00"/>
        <d v="2012-06-18T00:00:00"/>
        <d v="2022-05-24T00:00:00"/>
        <d v="2022-09-11T00:00:00"/>
        <d v="2015-06-06T00:00:00"/>
        <d v="2010-04-28T00:00:00"/>
        <d v="2002-01-20T00:00:00"/>
        <d v="2011-11-18T00:00:00"/>
        <d v="2016-01-10T00:00:00"/>
        <d v="2005-01-01T00:00:00"/>
        <d v="2009-11-20T00:00:00"/>
        <d v="2023-02-09T00:00:00"/>
        <d v="2012-06-20T00:00:00"/>
        <d v="2013-12-25T00:00:00"/>
        <d v="2021-01-12T00:00:00"/>
        <d v="2017-01-18T00:00:00"/>
        <d v="2011-10-25T00:00:00"/>
        <d v="2020-07-31T00:00:00"/>
        <d v="2000-07-07T00:00:00"/>
        <d v="2004-12-29T00:00:00"/>
        <d v="2024-05-03T00:00:00"/>
        <d v="2012-03-05T00:00:00"/>
        <d v="2016-07-02T00:00:00"/>
        <d v="2007-04-09T00:00:00"/>
        <d v="2011-01-23T00:00:00"/>
        <d v="2003-03-15T00:00:00"/>
        <d v="2006-05-04T00:00:00"/>
        <d v="2002-11-15T00:00:00"/>
        <d v="2012-12-24T00:00:00"/>
        <d v="2003-06-03T00:00:00"/>
        <d v="2003-07-14T00:00:00"/>
        <d v="2023-10-16T00:00:00"/>
        <d v="2024-01-02T00:00:00"/>
        <d v="2007-06-03T00:00:00"/>
        <d v="2009-07-11T00:00:00"/>
        <d v="2002-12-20T00:00:00"/>
        <d v="2010-05-01T00:00:00"/>
        <d v="2016-03-27T00:00:00"/>
        <d v="2018-10-26T00:00:00"/>
        <d v="2016-09-10T00:00:00"/>
        <d v="2012-06-28T00:00:00"/>
        <d v="2010-01-29T00:00:00"/>
        <d v="2010-12-24T00:00:00"/>
        <d v="2003-04-11T00:00:00"/>
        <d v="2007-04-02T00:00:00"/>
        <d v="2006-03-16T00:00:00"/>
        <d v="2011-02-13T00:00:00"/>
        <d v="2009-02-07T00:00:00"/>
        <d v="2005-02-19T00:00:00"/>
        <d v="2007-01-05T00:00:00"/>
        <d v="2020-03-05T00:00:00"/>
        <d v="2023-11-23T00:00:00"/>
        <d v="2018-04-12T00:00:00"/>
        <d v="2017-09-30T00:00:00"/>
        <d v="2022-01-09T00:00:00"/>
        <d v="2013-10-17T00:00:00"/>
        <d v="2002-06-11T00:00:00"/>
        <d v="2005-08-22T00:00:00"/>
        <d v="2021-04-27T00:00:00"/>
        <d v="2007-02-28T00:00:00"/>
        <d v="2011-12-04T00:00:00"/>
        <d v="2003-02-13T00:00:00"/>
        <d v="2005-05-06T00:00:00"/>
        <d v="2010-10-04T00:00:00"/>
        <d v="2016-05-13T00:00:00"/>
        <d v="2016-03-22T00:00:00"/>
        <d v="2011-10-14T00:00:00"/>
        <d v="2016-09-08T00:00:00"/>
        <d v="2004-12-07T00:00:00"/>
      </sharedItems>
      <fieldGroup par="9"/>
    </cacheField>
    <cacheField name="Salary" numFmtId="164">
      <sharedItems containsSemiMixedTypes="0" containsString="0" containsNumber="1" containsInteger="1" minValue="1500" maxValue="19890"/>
    </cacheField>
    <cacheField name="Total Years Of Work" numFmtId="1">
      <sharedItems containsSemiMixedTypes="0" containsString="0" containsNumber="1" containsInteger="1" minValue="2" maxValue="26"/>
    </cacheField>
    <cacheField name="Employee D.O.B" numFmtId="14">
      <sharedItems containsSemiMixedTypes="0" containsNonDate="0" containsDate="1" containsString="0" minDate="1975-02-23T00:00:00" maxDate="1999-05-04T00:00:00"/>
    </cacheField>
    <cacheField name="Months (Date of Joining)" numFmtId="0" databaseField="0">
      <fieldGroup base="4">
        <rangePr groupBy="months" startDate="2000-02-23T00:00:00" endDate="2024-05-04T00:00:00"/>
        <groupItems count="14">
          <s v="&lt;23-02-2000"/>
          <s v="Jan"/>
          <s v="Feb"/>
          <s v="Mar"/>
          <s v="Apr"/>
          <s v="May"/>
          <s v="Jun"/>
          <s v="Jul"/>
          <s v="Aug"/>
          <s v="Sep"/>
          <s v="Oct"/>
          <s v="Nov"/>
          <s v="Dec"/>
          <s v="&gt;04-05-2024"/>
        </groupItems>
      </fieldGroup>
    </cacheField>
    <cacheField name="Years (Date of Joining)" numFmtId="0" databaseField="0">
      <fieldGroup base="4">
        <rangePr groupBy="years" startDate="2000-02-23T00:00:00" endDate="2024-05-04T00:00:00"/>
        <groupItems count="27">
          <s v="&lt;23-02-2000"/>
          <s v="2000"/>
          <s v="2001"/>
          <s v="2002"/>
          <s v="2003"/>
          <s v="2004"/>
          <s v="2005"/>
          <s v="2006"/>
          <s v="2007"/>
          <s v="2008"/>
          <s v="2009"/>
          <s v="2010"/>
          <s v="2011"/>
          <s v="2012"/>
          <s v="2013"/>
          <s v="2014"/>
          <s v="2015"/>
          <s v="2016"/>
          <s v="2017"/>
          <s v="2018"/>
          <s v="2019"/>
          <s v="2020"/>
          <s v="2021"/>
          <s v="2022"/>
          <s v="2023"/>
          <s v="2024"/>
          <s v="&gt;04-05-2024"/>
        </groupItems>
      </fieldGroup>
    </cacheField>
  </cacheFields>
  <extLst>
    <ext xmlns:x14="http://schemas.microsoft.com/office/spreadsheetml/2009/9/main" uri="{725AE2AE-9491-48be-B2B4-4EB974FC3084}">
      <x14:pivotCacheDefinition pivotCacheId="632957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n v="1442"/>
    <s v="Danielle"/>
    <x v="0"/>
    <x v="0"/>
    <x v="0"/>
    <n v="8555"/>
    <n v="11"/>
    <d v="1990-05-04T00:00:00"/>
  </r>
  <r>
    <n v="1121"/>
    <s v="Brayden"/>
    <x v="1"/>
    <x v="1"/>
    <x v="1"/>
    <n v="8015"/>
    <n v="14"/>
    <d v="1986-12-23T00:00:00"/>
  </r>
  <r>
    <n v="1362"/>
    <s v="Arisha"/>
    <x v="2"/>
    <x v="2"/>
    <x v="2"/>
    <n v="9005"/>
    <n v="14"/>
    <d v="1987-04-01T00:00:00"/>
  </r>
  <r>
    <n v="1190"/>
    <s v="Finley"/>
    <x v="3"/>
    <x v="3"/>
    <x v="3"/>
    <n v="2319"/>
    <n v="3"/>
    <d v="1998-01-23T00:00:00"/>
  </r>
  <r>
    <n v="1332"/>
    <s v="Ana"/>
    <x v="4"/>
    <x v="2"/>
    <x v="4"/>
    <n v="8413"/>
    <n v="17"/>
    <d v="1984-07-15T00:00:00"/>
  </r>
  <r>
    <n v="1479"/>
    <s v="Ellen"/>
    <x v="5"/>
    <x v="4"/>
    <x v="5"/>
    <n v="8365"/>
    <n v="4"/>
    <d v="1996-10-10T00:00:00"/>
  </r>
  <r>
    <n v="1244"/>
    <s v="Kaiden"/>
    <x v="6"/>
    <x v="5"/>
    <x v="6"/>
    <n v="4570"/>
    <n v="23"/>
    <d v="1977-08-22T00:00:00"/>
  </r>
  <r>
    <n v="1469"/>
    <s v="Eileen"/>
    <x v="7"/>
    <x v="4"/>
    <x v="7"/>
    <n v="8967"/>
    <n v="6"/>
    <d v="1994-08-26T00:00:00"/>
  </r>
  <r>
    <n v="1257"/>
    <s v="Lawson"/>
    <x v="8"/>
    <x v="6"/>
    <x v="8"/>
    <n v="3779"/>
    <n v="23"/>
    <d v="1977-10-02T00:00:00"/>
  </r>
  <r>
    <n v="1120"/>
    <s v="Brandon"/>
    <x v="1"/>
    <x v="1"/>
    <x v="9"/>
    <n v="7800"/>
    <n v="14"/>
    <d v="1986-12-20T00:00:00"/>
  </r>
  <r>
    <n v="1149"/>
    <s v="Dallas"/>
    <x v="9"/>
    <x v="4"/>
    <x v="10"/>
    <n v="1500"/>
    <n v="10"/>
    <d v="1991-04-13T00:00:00"/>
  </r>
  <r>
    <n v="1213"/>
    <s v="Hector"/>
    <x v="10"/>
    <x v="7"/>
    <x v="11"/>
    <n v="2551"/>
    <n v="11"/>
    <d v="1989-10-27T00:00:00"/>
  </r>
  <r>
    <n v="1131"/>
    <s v="Bryson"/>
    <x v="11"/>
    <x v="1"/>
    <x v="12"/>
    <n v="2000"/>
    <n v="13"/>
    <d v="1988-01-03T00:00:00"/>
  </r>
  <r>
    <n v="1298"/>
    <s v="Stephen"/>
    <x v="12"/>
    <x v="8"/>
    <x v="13"/>
    <n v="9005"/>
    <n v="22"/>
    <d v="1979-01-08T00:00:00"/>
  </r>
  <r>
    <n v="1197"/>
    <s v="Franklin"/>
    <x v="3"/>
    <x v="3"/>
    <x v="14"/>
    <n v="3332"/>
    <n v="2"/>
    <d v="1999-01-20T00:00:00"/>
  </r>
  <r>
    <n v="1349"/>
    <s v="Annie"/>
    <x v="13"/>
    <x v="2"/>
    <x v="15"/>
    <n v="7107"/>
    <n v="15"/>
    <d v="1985-10-21T00:00:00"/>
  </r>
  <r>
    <n v="1243"/>
    <s v="Kai"/>
    <x v="6"/>
    <x v="5"/>
    <x v="16"/>
    <n v="4570"/>
    <n v="24"/>
    <d v="1977-07-08T00:00:00"/>
  </r>
  <r>
    <n v="1132"/>
    <s v="Caden"/>
    <x v="11"/>
    <x v="1"/>
    <x v="17"/>
    <n v="1712"/>
    <n v="13"/>
    <d v="1988-05-21T00:00:00"/>
  </r>
  <r>
    <n v="1333"/>
    <s v="Anahi"/>
    <x v="4"/>
    <x v="2"/>
    <x v="18"/>
    <n v="8467"/>
    <n v="16"/>
    <d v="1984-08-28T00:00:00"/>
  </r>
  <r>
    <n v="1221"/>
    <s v="Jared"/>
    <x v="6"/>
    <x v="7"/>
    <x v="19"/>
    <n v="4114"/>
    <n v="7"/>
    <d v="1994-03-07T00:00:00"/>
  </r>
  <r>
    <n v="1307"/>
    <s v="Aila"/>
    <x v="12"/>
    <x v="8"/>
    <x v="20"/>
    <n v="7800"/>
    <n v="21"/>
    <d v="1980-07-08T00:00:00"/>
  </r>
  <r>
    <n v="1032"/>
    <s v="Evelyn"/>
    <x v="14"/>
    <x v="0"/>
    <x v="21"/>
    <n v="6854"/>
    <n v="24"/>
    <d v="1976-09-06T00:00:00"/>
  </r>
  <r>
    <n v="1021"/>
    <s v="Jackson"/>
    <x v="15"/>
    <x v="1"/>
    <x v="22"/>
    <n v="4809"/>
    <n v="26"/>
    <d v="1975-02-23T00:00:00"/>
  </r>
  <r>
    <n v="1267"/>
    <s v="Manuel"/>
    <x v="8"/>
    <x v="6"/>
    <x v="23"/>
    <n v="8365"/>
    <n v="25"/>
    <d v="1975-10-12T00:00:00"/>
  </r>
  <r>
    <n v="1037"/>
    <s v="Elizabeth"/>
    <x v="16"/>
    <x v="0"/>
    <x v="16"/>
    <n v="8413"/>
    <n v="24"/>
    <d v="1977-07-08T00:00:00"/>
  </r>
  <r>
    <n v="1028"/>
    <s v="Sophia"/>
    <x v="17"/>
    <x v="0"/>
    <x v="24"/>
    <n v="6181"/>
    <n v="24"/>
    <d v="1976-10-03T00:00:00"/>
  </r>
  <r>
    <n v="1287"/>
    <s v="Omar"/>
    <x v="4"/>
    <x v="8"/>
    <x v="25"/>
    <n v="8015"/>
    <n v="22"/>
    <d v="1978-09-03T00:00:00"/>
  </r>
  <r>
    <n v="1141"/>
    <s v="Clayton"/>
    <x v="9"/>
    <x v="1"/>
    <x v="26"/>
    <n v="3668"/>
    <n v="11"/>
    <d v="1990-02-03T00:00:00"/>
  </r>
  <r>
    <n v="1143"/>
    <s v="Colin"/>
    <x v="9"/>
    <x v="1"/>
    <x v="27"/>
    <n v="3839"/>
    <n v="11"/>
    <d v="1990-06-04T00:00:00"/>
  </r>
  <r>
    <n v="1420"/>
    <s v="Chelsea"/>
    <x v="18"/>
    <x v="0"/>
    <x v="28"/>
    <n v="8467"/>
    <n v="3"/>
    <d v="1997-09-10T00:00:00"/>
  </r>
  <r>
    <n v="1130"/>
    <s v="Bryce"/>
    <x v="11"/>
    <x v="1"/>
    <x v="29"/>
    <n v="1500"/>
    <n v="13"/>
    <d v="1988-02-24T00:00:00"/>
  </r>
  <r>
    <n v="1393"/>
    <s v="Callie"/>
    <x v="19"/>
    <x v="1"/>
    <x v="30"/>
    <n v="10167"/>
    <n v="8"/>
    <d v="1992-11-24T00:00:00"/>
  </r>
  <r>
    <n v="1414"/>
    <s v="Celia"/>
    <x v="20"/>
    <x v="1"/>
    <x v="31"/>
    <n v="10167"/>
    <n v="4"/>
    <d v="1996-10-19T00:00:00"/>
  </r>
  <r>
    <n v="1348"/>
    <s v="Annette"/>
    <x v="13"/>
    <x v="2"/>
    <x v="32"/>
    <n v="10167"/>
    <n v="15"/>
    <d v="1985-09-28T00:00:00"/>
  </r>
  <r>
    <n v="1178"/>
    <s v="Eli"/>
    <x v="21"/>
    <x v="9"/>
    <x v="33"/>
    <n v="3332"/>
    <n v="5"/>
    <d v="1995-09-25T00:00:00"/>
  </r>
  <r>
    <n v="1012"/>
    <s v="James"/>
    <x v="22"/>
    <x v="10"/>
    <x v="34"/>
    <n v="3668"/>
    <n v="25"/>
    <d v="1976-04-06T00:00:00"/>
  </r>
  <r>
    <n v="1320"/>
    <s v="Allison"/>
    <x v="4"/>
    <x v="11"/>
    <x v="35"/>
    <n v="9123"/>
    <n v="19"/>
    <d v="1982-04-18T00:00:00"/>
  </r>
  <r>
    <n v="1095"/>
    <s v="Violet"/>
    <x v="22"/>
    <x v="1"/>
    <x v="36"/>
    <n v="19071"/>
    <n v="17"/>
    <d v="1984-02-11T00:00:00"/>
  </r>
  <r>
    <n v="1346"/>
    <s v="Annalise"/>
    <x v="13"/>
    <x v="2"/>
    <x v="37"/>
    <n v="9581"/>
    <n v="15"/>
    <d v="1985-11-06T00:00:00"/>
  </r>
  <r>
    <n v="1119"/>
    <s v="Brady"/>
    <x v="1"/>
    <x v="1"/>
    <x v="38"/>
    <n v="7107"/>
    <n v="14"/>
    <d v="1986-11-21T00:00:00"/>
  </r>
  <r>
    <n v="1299"/>
    <s v="Steven"/>
    <x v="12"/>
    <x v="8"/>
    <x v="39"/>
    <n v="9123"/>
    <n v="22"/>
    <d v="1979-06-08T00:00:00"/>
  </r>
  <r>
    <n v="1055"/>
    <s v="Oscar"/>
    <x v="23"/>
    <x v="8"/>
    <x v="40"/>
    <n v="10248"/>
    <n v="22"/>
    <d v="1979-03-15T00:00:00"/>
  </r>
  <r>
    <n v="1367"/>
    <s v="Aspen"/>
    <x v="2"/>
    <x v="2"/>
    <x v="41"/>
    <n v="9581"/>
    <n v="14"/>
    <d v="1987-06-23T00:00:00"/>
  </r>
  <r>
    <n v="1334"/>
    <s v="Anastasia"/>
    <x v="4"/>
    <x v="2"/>
    <x v="42"/>
    <n v="8555"/>
    <n v="16"/>
    <d v="1984-10-22T00:00:00"/>
  </r>
  <r>
    <n v="1107"/>
    <s v="Albert"/>
    <x v="24"/>
    <x v="1"/>
    <x v="43"/>
    <n v="10273"/>
    <n v="16"/>
    <d v="1985-04-09T00:00:00"/>
  </r>
  <r>
    <n v="1301"/>
    <s v="Adaline"/>
    <x v="12"/>
    <x v="8"/>
    <x v="44"/>
    <n v="9521"/>
    <n v="22"/>
    <d v="1979-01-12T00:00:00"/>
  </r>
  <r>
    <n v="1376"/>
    <s v="Ayla"/>
    <x v="25"/>
    <x v="1"/>
    <x v="45"/>
    <n v="8467"/>
    <n v="12"/>
    <d v="1989-02-24T00:00:00"/>
  </r>
  <r>
    <n v="1456"/>
    <s v="Diane"/>
    <x v="17"/>
    <x v="4"/>
    <x v="46"/>
    <n v="10167"/>
    <n v="8"/>
    <d v="1992-12-02T00:00:00"/>
  </r>
  <r>
    <n v="1399"/>
    <s v="Carla"/>
    <x v="19"/>
    <x v="1"/>
    <x v="47"/>
    <n v="8467"/>
    <n v="7"/>
    <d v="1993-12-16T00:00:00"/>
  </r>
  <r>
    <n v="1049"/>
    <s v="Samuel"/>
    <x v="12"/>
    <x v="8"/>
    <x v="48"/>
    <n v="9521"/>
    <n v="23"/>
    <d v="1978-07-15T00:00:00"/>
  </r>
  <r>
    <n v="1432"/>
    <s v="Courtney"/>
    <x v="18"/>
    <x v="0"/>
    <x v="49"/>
    <n v="9524"/>
    <n v="12"/>
    <d v="1989-07-19T00:00:00"/>
  </r>
  <r>
    <n v="1407"/>
    <s v="Cassidy"/>
    <x v="20"/>
    <x v="1"/>
    <x v="50"/>
    <n v="9005"/>
    <n v="6"/>
    <d v="1995-08-05T00:00:00"/>
  </r>
  <r>
    <n v="1385"/>
    <s v="Brinley"/>
    <x v="25"/>
    <x v="1"/>
    <x v="51"/>
    <n v="9123"/>
    <n v="11"/>
    <d v="1990-08-12T00:00:00"/>
  </r>
  <r>
    <n v="1319"/>
    <s v="Alisha"/>
    <x v="4"/>
    <x v="11"/>
    <x v="52"/>
    <n v="9005"/>
    <n v="19"/>
    <d v="1982-03-31T00:00:00"/>
  </r>
  <r>
    <n v="1031"/>
    <s v="Mia"/>
    <x v="6"/>
    <x v="0"/>
    <x v="34"/>
    <n v="6829"/>
    <n v="25"/>
    <d v="1976-04-06T00:00:00"/>
  </r>
  <r>
    <n v="1172"/>
    <s v="Easton"/>
    <x v="21"/>
    <x v="9"/>
    <x v="53"/>
    <n v="2369"/>
    <n v="6"/>
    <d v="1995-02-24T00:00:00"/>
  </r>
  <r>
    <n v="1010"/>
    <s v="Oliver"/>
    <x v="9"/>
    <x v="10"/>
    <x v="54"/>
    <n v="3001"/>
    <n v="25"/>
    <d v="1976-03-05T00:00:00"/>
  </r>
  <r>
    <n v="1386"/>
    <s v="Bristol"/>
    <x v="25"/>
    <x v="1"/>
    <x v="55"/>
    <n v="9128"/>
    <n v="9"/>
    <d v="1991-12-23T00:00:00"/>
  </r>
  <r>
    <n v="1156"/>
    <s v="Darren"/>
    <x v="9"/>
    <x v="4"/>
    <x v="56"/>
    <n v="2551"/>
    <n v="9"/>
    <d v="1992-01-15T00:00:00"/>
  </r>
  <r>
    <n v="1480"/>
    <s v="Elliana"/>
    <x v="5"/>
    <x v="4"/>
    <x v="31"/>
    <n v="8413"/>
    <n v="4"/>
    <d v="1996-10-19T00:00:00"/>
  </r>
  <r>
    <n v="1206"/>
    <s v="Graham"/>
    <x v="10"/>
    <x v="3"/>
    <x v="49"/>
    <n v="1500"/>
    <n v="12"/>
    <d v="1989-07-19T00:00:00"/>
  </r>
  <r>
    <n v="1312"/>
    <s v="Alannah"/>
    <x v="4"/>
    <x v="11"/>
    <x v="57"/>
    <n v="8555"/>
    <n v="20"/>
    <d v="1981-06-04T00:00:00"/>
  </r>
  <r>
    <n v="1030"/>
    <s v="Ava"/>
    <x v="26"/>
    <x v="0"/>
    <x v="58"/>
    <n v="6731"/>
    <n v="25"/>
    <d v="1976-05-29T00:00:00"/>
  </r>
  <r>
    <n v="1084"/>
    <s v="Rosie"/>
    <x v="27"/>
    <x v="10"/>
    <x v="59"/>
    <n v="15325"/>
    <n v="18"/>
    <d v="1983-06-01T00:00:00"/>
  </r>
  <r>
    <n v="1401"/>
    <s v="Carmen"/>
    <x v="20"/>
    <x v="1"/>
    <x v="60"/>
    <n v="8664"/>
    <n v="7"/>
    <d v="1994-03-21T00:00:00"/>
  </r>
  <r>
    <n v="1222"/>
    <s v="Jason"/>
    <x v="6"/>
    <x v="7"/>
    <x v="7"/>
    <n v="4348"/>
    <n v="6"/>
    <d v="1994-08-26T00:00:00"/>
  </r>
  <r>
    <n v="1211"/>
    <s v="Harvey"/>
    <x v="10"/>
    <x v="7"/>
    <x v="27"/>
    <n v="2476"/>
    <n v="11"/>
    <d v="1990-06-04T00:00:00"/>
  </r>
  <r>
    <n v="1395"/>
    <s v="Camilla"/>
    <x v="19"/>
    <x v="1"/>
    <x v="61"/>
    <n v="7800"/>
    <n v="8"/>
    <d v="1992-12-29T00:00:00"/>
  </r>
  <r>
    <n v="1296"/>
    <s v="Ronald"/>
    <x v="12"/>
    <x v="8"/>
    <x v="62"/>
    <n v="8814"/>
    <n v="22"/>
    <d v="1979-03-05T00:00:00"/>
  </r>
  <r>
    <n v="1261"/>
    <s v="Louis"/>
    <x v="8"/>
    <x v="6"/>
    <x v="63"/>
    <n v="4348"/>
    <n v="25"/>
    <d v="1975-10-01T00:00:00"/>
  </r>
  <r>
    <n v="1277"/>
    <s v="Matthew"/>
    <x v="8"/>
    <x v="8"/>
    <x v="64"/>
    <n v="9005"/>
    <n v="24"/>
    <d v="1977-05-07T00:00:00"/>
  </r>
  <r>
    <n v="1294"/>
    <s v="Robert"/>
    <x v="12"/>
    <x v="8"/>
    <x v="65"/>
    <n v="8696"/>
    <n v="22"/>
    <d v="1979-02-28T00:00:00"/>
  </r>
  <r>
    <n v="1080"/>
    <s v="Elsie"/>
    <x v="28"/>
    <x v="10"/>
    <x v="35"/>
    <n v="14464"/>
    <n v="19"/>
    <d v="1982-04-18T00:00:00"/>
  </r>
  <r>
    <n v="1248"/>
    <s v="Karl"/>
    <x v="6"/>
    <x v="6"/>
    <x v="66"/>
    <n v="2319"/>
    <n v="26"/>
    <d v="1975-04-27T00:00:00"/>
  </r>
  <r>
    <n v="1445"/>
    <s v="Davina"/>
    <x v="0"/>
    <x v="0"/>
    <x v="11"/>
    <n v="8696"/>
    <n v="11"/>
    <d v="1989-10-27T00:00:00"/>
  </r>
  <r>
    <n v="1330"/>
    <s v="Amira"/>
    <x v="4"/>
    <x v="2"/>
    <x v="67"/>
    <n v="8015"/>
    <n v="17"/>
    <d v="1984-06-18T00:00:00"/>
  </r>
  <r>
    <n v="1313"/>
    <s v="Alexandra"/>
    <x v="4"/>
    <x v="11"/>
    <x v="68"/>
    <n v="8664"/>
    <n v="20"/>
    <d v="1981-05-29T00:00:00"/>
  </r>
  <r>
    <n v="1325"/>
    <s v="Amari"/>
    <x v="4"/>
    <x v="11"/>
    <x v="69"/>
    <n v="10109"/>
    <n v="17"/>
    <d v="1983-08-16T00:00:00"/>
  </r>
  <r>
    <n v="1209"/>
    <s v="Griffin"/>
    <x v="10"/>
    <x v="3"/>
    <x v="26"/>
    <n v="2319"/>
    <n v="11"/>
    <d v="1990-02-03T00:00:00"/>
  </r>
  <r>
    <n v="1138"/>
    <s v="Christian"/>
    <x v="9"/>
    <x v="1"/>
    <x v="49"/>
    <n v="2923"/>
    <n v="12"/>
    <d v="1989-07-19T00:00:00"/>
  </r>
  <r>
    <n v="1241"/>
    <s v="Judah"/>
    <x v="6"/>
    <x v="5"/>
    <x v="8"/>
    <n v="4348"/>
    <n v="23"/>
    <d v="1977-10-02T00:00:00"/>
  </r>
  <r>
    <n v="1341"/>
    <s v="Anika"/>
    <x v="13"/>
    <x v="2"/>
    <x v="70"/>
    <n v="9005"/>
    <n v="16"/>
    <d v="1985-03-22T00:00:00"/>
  </r>
  <r>
    <n v="1359"/>
    <s v="Ariel"/>
    <x v="2"/>
    <x v="2"/>
    <x v="38"/>
    <n v="8723"/>
    <n v="14"/>
    <d v="1986-11-21T00:00:00"/>
  </r>
  <r>
    <n v="1484"/>
    <s v="Elora"/>
    <x v="5"/>
    <x v="8"/>
    <x v="71"/>
    <n v="8015"/>
    <n v="4"/>
    <d v="1997-06-15T00:00:00"/>
  </r>
  <r>
    <n v="1168"/>
    <s v="Douglas"/>
    <x v="21"/>
    <x v="9"/>
    <x v="72"/>
    <n v="1500"/>
    <n v="7"/>
    <d v="1993-12-24T00:00:00"/>
  </r>
  <r>
    <n v="1405"/>
    <s v="Casey"/>
    <x v="20"/>
    <x v="1"/>
    <x v="73"/>
    <n v="8814"/>
    <n v="6"/>
    <d v="1995-02-04T00:00:00"/>
  </r>
  <r>
    <n v="1237"/>
    <s v="Joseph"/>
    <x v="6"/>
    <x v="5"/>
    <x v="34"/>
    <n v="3779"/>
    <n v="25"/>
    <d v="1976-04-06T00:00:00"/>
  </r>
  <r>
    <n v="1219"/>
    <s v="Jacob"/>
    <x v="6"/>
    <x v="7"/>
    <x v="72"/>
    <n v="3839"/>
    <n v="7"/>
    <d v="1993-12-24T00:00:00"/>
  </r>
  <r>
    <n v="1050"/>
    <s v="Arlo"/>
    <x v="29"/>
    <x v="8"/>
    <x v="74"/>
    <n v="9524"/>
    <n v="23"/>
    <d v="1978-07-31T00:00:00"/>
  </r>
  <r>
    <n v="1255"/>
    <s v="Landon"/>
    <x v="6"/>
    <x v="6"/>
    <x v="58"/>
    <n v="3332"/>
    <n v="25"/>
    <d v="1976-05-29T00:00:00"/>
  </r>
  <r>
    <n v="1175"/>
    <s v="Eduardo"/>
    <x v="21"/>
    <x v="9"/>
    <x v="50"/>
    <n v="2551"/>
    <n v="6"/>
    <d v="1995-08-05T00:00:00"/>
  </r>
  <r>
    <n v="1069"/>
    <s v="Gabriel"/>
    <x v="30"/>
    <x v="6"/>
    <x v="75"/>
    <n v="12770"/>
    <n v="21"/>
    <d v="1980-04-10T00:00:00"/>
  </r>
  <r>
    <n v="1450"/>
    <s v="Delilah"/>
    <x v="17"/>
    <x v="0"/>
    <x v="47"/>
    <n v="9123"/>
    <n v="7"/>
    <d v="1993-12-16T00:00:00"/>
  </r>
  <r>
    <n v="1105"/>
    <s v="Aaron"/>
    <x v="24"/>
    <x v="1"/>
    <x v="76"/>
    <n v="10179"/>
    <n v="16"/>
    <d v="1985-08-06T00:00:00"/>
  </r>
  <r>
    <n v="1276"/>
    <s v="Matteo"/>
    <x v="8"/>
    <x v="8"/>
    <x v="8"/>
    <n v="8967"/>
    <n v="23"/>
    <d v="1977-10-02T00:00:00"/>
  </r>
  <r>
    <n v="1085"/>
    <s v="Millie"/>
    <x v="31"/>
    <x v="10"/>
    <x v="69"/>
    <n v="15348"/>
    <n v="17"/>
    <d v="1983-08-16T00:00:00"/>
  </r>
  <r>
    <n v="1446"/>
    <s v="Dawn"/>
    <x v="0"/>
    <x v="0"/>
    <x v="77"/>
    <n v="8723"/>
    <n v="11"/>
    <d v="1990-05-02T00:00:00"/>
  </r>
  <r>
    <n v="1234"/>
    <s v="Jordan"/>
    <x v="6"/>
    <x v="5"/>
    <x v="24"/>
    <n v="3001"/>
    <n v="24"/>
    <d v="1976-10-03T00:00:00"/>
  </r>
  <r>
    <n v="1064"/>
    <s v="Caleb"/>
    <x v="4"/>
    <x v="6"/>
    <x v="78"/>
    <n v="11811"/>
    <n v="21"/>
    <d v="1980-06-01T00:00:00"/>
  </r>
  <r>
    <n v="1238"/>
    <s v="Joshua"/>
    <x v="6"/>
    <x v="5"/>
    <x v="21"/>
    <n v="3839"/>
    <n v="24"/>
    <d v="1976-09-06T00:00:00"/>
  </r>
  <r>
    <n v="1451"/>
    <s v="Della"/>
    <x v="17"/>
    <x v="0"/>
    <x v="72"/>
    <n v="9128"/>
    <n v="7"/>
    <d v="1993-12-24T00:00:00"/>
  </r>
  <r>
    <n v="1357"/>
    <s v="Ariana"/>
    <x v="13"/>
    <x v="2"/>
    <x v="79"/>
    <n v="8686"/>
    <n v="14"/>
    <d v="1986-12-11T00:00:00"/>
  </r>
  <r>
    <n v="1202"/>
    <s v="George"/>
    <x v="10"/>
    <x v="3"/>
    <x v="77"/>
    <n v="4114"/>
    <n v="11"/>
    <d v="1990-05-02T00:00:00"/>
  </r>
  <r>
    <n v="1042"/>
    <s v="Hazel"/>
    <x v="32"/>
    <x v="8"/>
    <x v="80"/>
    <n v="8696"/>
    <n v="22"/>
    <d v="1978-09-01T00:00:00"/>
  </r>
  <r>
    <n v="1315"/>
    <s v="Alexis"/>
    <x v="4"/>
    <x v="11"/>
    <x v="81"/>
    <n v="8696"/>
    <n v="19"/>
    <d v="1981-12-22T00:00:00"/>
  </r>
  <r>
    <n v="1328"/>
    <s v="Amelie"/>
    <x v="4"/>
    <x v="11"/>
    <x v="82"/>
    <n v="7107"/>
    <n v="17"/>
    <d v="1984-08-01T00:00:00"/>
  </r>
  <r>
    <n v="1111"/>
    <s v="Austin"/>
    <x v="1"/>
    <x v="1"/>
    <x v="83"/>
    <n v="10608"/>
    <n v="15"/>
    <d v="1985-12-26T00:00:00"/>
  </r>
  <r>
    <n v="1273"/>
    <s v="Marvin"/>
    <x v="8"/>
    <x v="8"/>
    <x v="21"/>
    <n v="8696"/>
    <n v="24"/>
    <d v="1976-09-06T00:00:00"/>
  </r>
  <r>
    <n v="1327"/>
    <s v="Amber"/>
    <x v="4"/>
    <x v="11"/>
    <x v="84"/>
    <n v="10167"/>
    <n v="18"/>
    <d v="1983-02-12T00:00:00"/>
  </r>
  <r>
    <n v="1324"/>
    <s v="Amara"/>
    <x v="4"/>
    <x v="11"/>
    <x v="59"/>
    <n v="9581"/>
    <n v="18"/>
    <d v="1983-06-01T00:00:00"/>
  </r>
  <r>
    <n v="1457"/>
    <s v="Dior"/>
    <x v="17"/>
    <x v="4"/>
    <x v="85"/>
    <n v="7107"/>
    <n v="9"/>
    <d v="1992-05-04T00:00:00"/>
  </r>
  <r>
    <n v="1363"/>
    <s v="Arla"/>
    <x v="2"/>
    <x v="2"/>
    <x v="86"/>
    <n v="9123"/>
    <n v="13"/>
    <d v="1987-09-02T00:00:00"/>
  </r>
  <r>
    <n v="1135"/>
    <s v="Cameron"/>
    <x v="11"/>
    <x v="1"/>
    <x v="87"/>
    <n v="2476"/>
    <n v="11"/>
    <d v="1989-11-02T00:00:00"/>
  </r>
  <r>
    <n v="1053"/>
    <s v="Arthur"/>
    <x v="33"/>
    <x v="8"/>
    <x v="88"/>
    <n v="10167"/>
    <n v="22"/>
    <d v="1979-01-29T00:00:00"/>
  </r>
  <r>
    <n v="1284"/>
    <s v="Miles"/>
    <x v="4"/>
    <x v="8"/>
    <x v="89"/>
    <n v="10167"/>
    <n v="23"/>
    <d v="1978-07-02T00:00:00"/>
  </r>
  <r>
    <n v="1337"/>
    <s v="Angela"/>
    <x v="13"/>
    <x v="2"/>
    <x v="90"/>
    <n v="8696"/>
    <n v="16"/>
    <d v="1984-11-17T00:00:00"/>
  </r>
  <r>
    <n v="1027"/>
    <s v="Amelia"/>
    <x v="0"/>
    <x v="1"/>
    <x v="91"/>
    <n v="6075"/>
    <n v="25"/>
    <d v="1976-02-13T00:00:00"/>
  </r>
  <r>
    <n v="1193"/>
    <s v="Forrest"/>
    <x v="3"/>
    <x v="3"/>
    <x v="92"/>
    <n v="2541"/>
    <n v="2"/>
    <d v="1998-09-26T00:00:00"/>
  </r>
  <r>
    <n v="1304"/>
    <s v="Adeline"/>
    <x v="12"/>
    <x v="8"/>
    <x v="78"/>
    <n v="10109"/>
    <n v="21"/>
    <d v="1980-06-01T00:00:00"/>
  </r>
  <r>
    <n v="1482"/>
    <s v="Elodie"/>
    <x v="5"/>
    <x v="8"/>
    <x v="93"/>
    <n v="8365"/>
    <n v="4"/>
    <d v="1997-02-19T00:00:00"/>
  </r>
  <r>
    <n v="1074"/>
    <s v="Nicholas"/>
    <x v="34"/>
    <x v="10"/>
    <x v="94"/>
    <n v="13454"/>
    <n v="19"/>
    <d v="1981-09-11T00:00:00"/>
  </r>
  <r>
    <n v="1033"/>
    <s v="Harper"/>
    <x v="35"/>
    <x v="0"/>
    <x v="95"/>
    <n v="7107"/>
    <n v="24"/>
    <d v="1976-12-12T00:00:00"/>
  </r>
  <r>
    <n v="1227"/>
    <s v="Jayden"/>
    <x v="6"/>
    <x v="7"/>
    <x v="22"/>
    <n v="1712"/>
    <n v="26"/>
    <d v="1975-02-23T00:00:00"/>
  </r>
  <r>
    <n v="1262"/>
    <s v="Luis"/>
    <x v="8"/>
    <x v="6"/>
    <x v="22"/>
    <n v="4539"/>
    <n v="26"/>
    <d v="1975-02-23T00:00:00"/>
  </r>
  <r>
    <n v="1322"/>
    <s v="Alondra"/>
    <x v="4"/>
    <x v="11"/>
    <x v="96"/>
    <n v="9521"/>
    <n v="19"/>
    <d v="1982-05-29T00:00:00"/>
  </r>
  <r>
    <n v="1154"/>
    <s v="Darian"/>
    <x v="9"/>
    <x v="4"/>
    <x v="55"/>
    <n v="2476"/>
    <n v="9"/>
    <d v="1991-12-23T00:00:00"/>
  </r>
  <r>
    <n v="1423"/>
    <s v="Christine"/>
    <x v="18"/>
    <x v="0"/>
    <x v="97"/>
    <n v="8686"/>
    <n v="3"/>
    <d v="1998-03-20T00:00:00"/>
  </r>
  <r>
    <n v="1102"/>
    <s v="Ruby"/>
    <x v="22"/>
    <x v="1"/>
    <x v="98"/>
    <n v="9581"/>
    <n v="16"/>
    <d v="1985-08-04T00:00:00"/>
  </r>
  <r>
    <n v="1326"/>
    <s v="Amayah"/>
    <x v="4"/>
    <x v="11"/>
    <x v="99"/>
    <n v="10167"/>
    <n v="18"/>
    <d v="1983-01-12T00:00:00"/>
  </r>
  <r>
    <n v="1079"/>
    <s v="Florence"/>
    <x v="36"/>
    <x v="10"/>
    <x v="52"/>
    <n v="13955"/>
    <n v="19"/>
    <d v="1982-03-31T00:00:00"/>
  </r>
  <r>
    <n v="1229"/>
    <s v="Jeremy"/>
    <x v="6"/>
    <x v="7"/>
    <x v="66"/>
    <n v="2369"/>
    <n v="26"/>
    <d v="1975-04-27T00:00:00"/>
  </r>
  <r>
    <n v="1089"/>
    <s v="Maya"/>
    <x v="37"/>
    <x v="10"/>
    <x v="100"/>
    <n v="16535"/>
    <n v="17"/>
    <d v="1984-05-25T00:00:00"/>
  </r>
  <r>
    <n v="1351"/>
    <s v="Anya"/>
    <x v="13"/>
    <x v="2"/>
    <x v="83"/>
    <n v="8015"/>
    <n v="15"/>
    <d v="1985-12-26T00:00:00"/>
  </r>
  <r>
    <n v="1467"/>
    <s v="Edith"/>
    <x v="7"/>
    <x v="4"/>
    <x v="60"/>
    <n v="8723"/>
    <n v="7"/>
    <d v="1994-03-21T00:00:00"/>
  </r>
  <r>
    <n v="1179"/>
    <s v="Elias"/>
    <x v="21"/>
    <x v="9"/>
    <x v="101"/>
    <n v="3668"/>
    <n v="5"/>
    <d v="1995-12-29T00:00:00"/>
  </r>
  <r>
    <n v="1166"/>
    <s v="Donovan"/>
    <x v="21"/>
    <x v="9"/>
    <x v="102"/>
    <n v="4539"/>
    <n v="8"/>
    <d v="1993-08-12T00:00:00"/>
  </r>
  <r>
    <n v="1169"/>
    <s v="Drake"/>
    <x v="21"/>
    <x v="9"/>
    <x v="60"/>
    <n v="2000"/>
    <n v="7"/>
    <d v="1994-03-21T00:00:00"/>
  </r>
  <r>
    <n v="1046"/>
    <s v="Ethan"/>
    <x v="38"/>
    <x v="8"/>
    <x v="25"/>
    <n v="9005"/>
    <n v="22"/>
    <d v="1978-09-03T00:00:00"/>
  </r>
  <r>
    <n v="1300"/>
    <s v="Abigail"/>
    <x v="12"/>
    <x v="8"/>
    <x v="103"/>
    <n v="9128"/>
    <n v="21"/>
    <d v="1979-09-10T00:00:00"/>
  </r>
  <r>
    <n v="1052"/>
    <s v="Felix"/>
    <x v="39"/>
    <x v="8"/>
    <x v="104"/>
    <n v="10109"/>
    <n v="22"/>
    <d v="1978-11-25T00:00:00"/>
  </r>
  <r>
    <n v="1205"/>
    <s v="Giovanni"/>
    <x v="10"/>
    <x v="3"/>
    <x v="27"/>
    <n v="4570"/>
    <n v="11"/>
    <d v="1990-06-04T00:00:00"/>
  </r>
  <r>
    <n v="1413"/>
    <s v="Celeste"/>
    <x v="20"/>
    <x v="1"/>
    <x v="5"/>
    <n v="10109"/>
    <n v="4"/>
    <d v="1996-10-10T00:00:00"/>
  </r>
  <r>
    <n v="1231"/>
    <s v="Joel"/>
    <x v="6"/>
    <x v="5"/>
    <x v="105"/>
    <n v="2541"/>
    <n v="25"/>
    <d v="1975-11-15T00:00:00"/>
  </r>
  <r>
    <n v="1263"/>
    <s v="Lukas"/>
    <x v="8"/>
    <x v="6"/>
    <x v="106"/>
    <n v="4570"/>
    <n v="26"/>
    <d v="1975-04-16T00:00:00"/>
  </r>
  <r>
    <n v="1388"/>
    <s v="Brooke"/>
    <x v="40"/>
    <x v="1"/>
    <x v="56"/>
    <n v="9524"/>
    <n v="9"/>
    <d v="1992-01-15T00:00:00"/>
  </r>
  <r>
    <n v="1394"/>
    <s v="Calliope"/>
    <x v="19"/>
    <x v="1"/>
    <x v="107"/>
    <n v="7107"/>
    <n v="8"/>
    <d v="1992-11-30T00:00:00"/>
  </r>
  <r>
    <n v="1177"/>
    <s v="Edwin"/>
    <x v="21"/>
    <x v="9"/>
    <x v="108"/>
    <n v="3001"/>
    <n v="5"/>
    <d v="1995-10-08T00:00:00"/>
  </r>
  <r>
    <n v="1278"/>
    <s v="Matthias"/>
    <x v="8"/>
    <x v="8"/>
    <x v="16"/>
    <n v="9123"/>
    <n v="24"/>
    <d v="1977-07-08T00:00:00"/>
  </r>
  <r>
    <n v="1196"/>
    <s v="Frank"/>
    <x v="3"/>
    <x v="3"/>
    <x v="109"/>
    <n v="3001"/>
    <n v="2"/>
    <d v="1998-12-17T00:00:00"/>
  </r>
  <r>
    <n v="1014"/>
    <s v="Benjamin"/>
    <x v="41"/>
    <x v="10"/>
    <x v="95"/>
    <n v="3839"/>
    <n v="24"/>
    <d v="1976-12-12T00:00:00"/>
  </r>
  <r>
    <n v="1377"/>
    <s v="Barbara"/>
    <x v="25"/>
    <x v="1"/>
    <x v="110"/>
    <n v="8555"/>
    <n v="12"/>
    <d v="1989-07-16T00:00:00"/>
  </r>
  <r>
    <n v="1453"/>
    <s v="Denise"/>
    <x v="17"/>
    <x v="0"/>
    <x v="111"/>
    <n v="9524"/>
    <n v="9"/>
    <d v="1992-07-01T00:00:00"/>
  </r>
  <r>
    <n v="1029"/>
    <s v="Isabella"/>
    <x v="7"/>
    <x v="0"/>
    <x v="54"/>
    <n v="6594"/>
    <n v="25"/>
    <d v="1976-03-05T00:00:00"/>
  </r>
  <r>
    <n v="1429"/>
    <s v="Collins"/>
    <x v="18"/>
    <x v="0"/>
    <x v="14"/>
    <n v="9123"/>
    <n v="2"/>
    <d v="1999-01-20T00:00:00"/>
  </r>
  <r>
    <n v="1365"/>
    <s v="Ashley"/>
    <x v="2"/>
    <x v="2"/>
    <x v="112"/>
    <n v="9521"/>
    <n v="14"/>
    <d v="1987-06-18T00:00:00"/>
  </r>
  <r>
    <n v="1200"/>
    <s v="Gary"/>
    <x v="10"/>
    <x v="3"/>
    <x v="49"/>
    <n v="3839"/>
    <n v="12"/>
    <d v="1989-07-19T00:00:00"/>
  </r>
  <r>
    <n v="1217"/>
    <s v="Ivan"/>
    <x v="10"/>
    <x v="7"/>
    <x v="27"/>
    <n v="3668"/>
    <n v="11"/>
    <d v="1990-06-04T00:00:00"/>
  </r>
  <r>
    <n v="1067"/>
    <s v="Luke"/>
    <x v="42"/>
    <x v="6"/>
    <x v="20"/>
    <n v="12529"/>
    <n v="21"/>
    <d v="1980-07-08T00:00:00"/>
  </r>
  <r>
    <n v="1417"/>
    <s v="Chandini"/>
    <x v="20"/>
    <x v="1"/>
    <x v="113"/>
    <n v="8015"/>
    <n v="4"/>
    <d v="1997-05-24T00:00:00"/>
  </r>
  <r>
    <n v="1189"/>
    <s v="Fernando"/>
    <x v="3"/>
    <x v="9"/>
    <x v="114"/>
    <n v="1712"/>
    <n v="3"/>
    <d v="1997-09-11T00:00:00"/>
  </r>
  <r>
    <n v="1410"/>
    <s v="Catherine"/>
    <x v="20"/>
    <x v="1"/>
    <x v="33"/>
    <n v="9521"/>
    <n v="5"/>
    <d v="1995-09-25T00:00:00"/>
  </r>
  <r>
    <n v="1075"/>
    <s v="Ian"/>
    <x v="43"/>
    <x v="10"/>
    <x v="81"/>
    <n v="13630"/>
    <n v="19"/>
    <d v="1981-12-22T00:00:00"/>
  </r>
  <r>
    <n v="1384"/>
    <s v="Brielle"/>
    <x v="25"/>
    <x v="1"/>
    <x v="115"/>
    <n v="9005"/>
    <n v="11"/>
    <d v="1990-06-06T00:00:00"/>
  </r>
  <r>
    <n v="1473"/>
    <s v="Elinor"/>
    <x v="26"/>
    <x v="4"/>
    <x v="50"/>
    <n v="9521"/>
    <n v="6"/>
    <d v="1995-08-05T00:00:00"/>
  </r>
  <r>
    <n v="1344"/>
    <s v="Ann"/>
    <x v="13"/>
    <x v="2"/>
    <x v="116"/>
    <n v="9521"/>
    <n v="16"/>
    <d v="1985-04-28T00:00:00"/>
  </r>
  <r>
    <n v="1275"/>
    <s v="Mathias"/>
    <x v="8"/>
    <x v="8"/>
    <x v="117"/>
    <n v="8814"/>
    <n v="24"/>
    <d v="1977-01-20T00:00:00"/>
  </r>
  <r>
    <n v="1258"/>
    <s v="Leon"/>
    <x v="8"/>
    <x v="6"/>
    <x v="64"/>
    <n v="3839"/>
    <n v="24"/>
    <d v="1977-05-07T00:00:00"/>
  </r>
  <r>
    <n v="1358"/>
    <s v="Arianna"/>
    <x v="2"/>
    <x v="2"/>
    <x v="118"/>
    <n v="8696"/>
    <n v="14"/>
    <d v="1986-11-18T00:00:00"/>
  </r>
  <r>
    <n v="1444"/>
    <s v="Daphne"/>
    <x v="0"/>
    <x v="0"/>
    <x v="49"/>
    <n v="8686"/>
    <n v="12"/>
    <d v="1989-07-19T00:00:00"/>
  </r>
  <r>
    <n v="1152"/>
    <s v="Dane"/>
    <x v="9"/>
    <x v="4"/>
    <x v="119"/>
    <n v="2319"/>
    <n v="10"/>
    <d v="1991-01-10T00:00:00"/>
  </r>
  <r>
    <n v="1303"/>
    <s v="Addison"/>
    <x v="12"/>
    <x v="8"/>
    <x v="120"/>
    <n v="9581"/>
    <n v="21"/>
    <d v="1980-01-01T00:00:00"/>
  </r>
  <r>
    <n v="1338"/>
    <s v="Angelica"/>
    <x v="13"/>
    <x v="2"/>
    <x v="121"/>
    <n v="8723"/>
    <n v="16"/>
    <d v="1984-11-20T00:00:00"/>
  </r>
  <r>
    <n v="1228"/>
    <s v="Jeffrey"/>
    <x v="6"/>
    <x v="7"/>
    <x v="106"/>
    <n v="2319"/>
    <n v="26"/>
    <d v="1975-04-16T00:00:00"/>
  </r>
  <r>
    <n v="1108"/>
    <s v="Alejandro"/>
    <x v="24"/>
    <x v="1"/>
    <x v="32"/>
    <n v="10345"/>
    <n v="15"/>
    <d v="1985-09-28T00:00:00"/>
  </r>
  <r>
    <n v="1486"/>
    <s v="Elsy"/>
    <x v="5"/>
    <x v="8"/>
    <x v="28"/>
    <n v="8413"/>
    <n v="3"/>
    <d v="1997-09-10T00:00:00"/>
  </r>
  <r>
    <n v="1192"/>
    <s v="Flynn"/>
    <x v="3"/>
    <x v="3"/>
    <x v="122"/>
    <n v="2476"/>
    <n v="3"/>
    <d v="1998-02-09T00:00:00"/>
  </r>
  <r>
    <n v="1366"/>
    <s v="Ashlyn"/>
    <x v="2"/>
    <x v="2"/>
    <x v="123"/>
    <n v="9524"/>
    <n v="14"/>
    <d v="1987-06-20T00:00:00"/>
  </r>
  <r>
    <n v="1009"/>
    <s v="Noah"/>
    <x v="44"/>
    <x v="10"/>
    <x v="24"/>
    <n v="2923"/>
    <n v="24"/>
    <d v="1976-10-03T00:00:00"/>
  </r>
  <r>
    <n v="1002"/>
    <s v="Alan"/>
    <x v="11"/>
    <x v="8"/>
    <x v="22"/>
    <n v="2000"/>
    <n v="26"/>
    <d v="1975-02-23T00:00:00"/>
  </r>
  <r>
    <n v="1163"/>
    <s v="Diego"/>
    <x v="21"/>
    <x v="4"/>
    <x v="61"/>
    <n v="4082"/>
    <n v="8"/>
    <d v="1992-12-29T00:00:00"/>
  </r>
  <r>
    <n v="1015"/>
    <s v="Lucas"/>
    <x v="2"/>
    <x v="10"/>
    <x v="117"/>
    <n v="4082"/>
    <n v="24"/>
    <d v="1977-01-20T00:00:00"/>
  </r>
  <r>
    <n v="1134"/>
    <s v="Calvin"/>
    <x v="11"/>
    <x v="1"/>
    <x v="124"/>
    <n v="2369"/>
    <n v="12"/>
    <d v="1988-12-25T00:00:00"/>
  </r>
  <r>
    <n v="1007"/>
    <s v="Sebastian"/>
    <x v="45"/>
    <x v="8"/>
    <x v="23"/>
    <n v="2541"/>
    <n v="25"/>
    <d v="1975-10-12T00:00:00"/>
  </r>
  <r>
    <n v="1470"/>
    <s v="Elaine"/>
    <x v="26"/>
    <x v="4"/>
    <x v="53"/>
    <n v="9005"/>
    <n v="6"/>
    <d v="1995-02-24T00:00:00"/>
  </r>
  <r>
    <n v="1370"/>
    <s v="Aubree"/>
    <x v="25"/>
    <x v="1"/>
    <x v="29"/>
    <n v="10167"/>
    <n v="13"/>
    <d v="1988-02-24T00:00:00"/>
  </r>
  <r>
    <n v="1251"/>
    <s v="Kingston"/>
    <x v="6"/>
    <x v="6"/>
    <x v="23"/>
    <n v="2541"/>
    <n v="25"/>
    <d v="1975-10-12T00:00:00"/>
  </r>
  <r>
    <n v="1481"/>
    <s v="Ellie"/>
    <x v="5"/>
    <x v="8"/>
    <x v="125"/>
    <n v="8015"/>
    <n v="5"/>
    <d v="1996-01-12T00:00:00"/>
  </r>
  <r>
    <n v="1389"/>
    <s v="Brooklyn"/>
    <x v="40"/>
    <x v="1"/>
    <x v="126"/>
    <n v="9581"/>
    <n v="9"/>
    <d v="1992-01-18T00:00:00"/>
  </r>
  <r>
    <n v="1181"/>
    <s v="Elliott"/>
    <x v="21"/>
    <x v="9"/>
    <x v="5"/>
    <n v="3839"/>
    <n v="4"/>
    <d v="1996-10-10T00:00:00"/>
  </r>
  <r>
    <n v="1092"/>
    <s v="Naomi"/>
    <x v="46"/>
    <x v="10"/>
    <x v="4"/>
    <n v="17858"/>
    <n v="17"/>
    <d v="1984-07-15T00:00:00"/>
  </r>
  <r>
    <n v="1034"/>
    <s v="Luna"/>
    <x v="47"/>
    <x v="0"/>
    <x v="117"/>
    <n v="7800"/>
    <n v="24"/>
    <d v="1977-01-20T00:00:00"/>
  </r>
  <r>
    <n v="1356"/>
    <s v="Ariah"/>
    <x v="13"/>
    <x v="2"/>
    <x v="127"/>
    <n v="8664"/>
    <n v="14"/>
    <d v="1986-10-25T00:00:00"/>
  </r>
  <r>
    <n v="1186"/>
    <s v="Evan"/>
    <x v="3"/>
    <x v="9"/>
    <x v="71"/>
    <n v="4570"/>
    <n v="4"/>
    <d v="1997-06-15T00:00:00"/>
  </r>
  <r>
    <n v="1260"/>
    <s v="Lincoln"/>
    <x v="8"/>
    <x v="6"/>
    <x v="6"/>
    <n v="4114"/>
    <n v="23"/>
    <d v="1977-08-22T00:00:00"/>
  </r>
  <r>
    <n v="1271"/>
    <s v="Marshall"/>
    <x v="8"/>
    <x v="8"/>
    <x v="58"/>
    <n v="8664"/>
    <n v="25"/>
    <d v="1976-05-29T00:00:00"/>
  </r>
  <r>
    <n v="1118"/>
    <s v="Bradley"/>
    <x v="1"/>
    <x v="1"/>
    <x v="118"/>
    <n v="6854"/>
    <n v="14"/>
    <d v="1986-11-18T00:00:00"/>
  </r>
  <r>
    <n v="1268"/>
    <s v="Marcus"/>
    <x v="8"/>
    <x v="6"/>
    <x v="91"/>
    <n v="8413"/>
    <n v="25"/>
    <d v="1976-02-13T00:00:00"/>
  </r>
  <r>
    <n v="1184"/>
    <s v="Eric"/>
    <x v="3"/>
    <x v="9"/>
    <x v="93"/>
    <n v="4348"/>
    <n v="4"/>
    <d v="1997-02-19T00:00:00"/>
  </r>
  <r>
    <n v="1086"/>
    <s v="Aria"/>
    <x v="48"/>
    <x v="10"/>
    <x v="99"/>
    <n v="15538"/>
    <n v="18"/>
    <d v="1983-01-12T00:00:00"/>
  </r>
  <r>
    <n v="1176"/>
    <s v="Edward"/>
    <x v="21"/>
    <x v="9"/>
    <x v="128"/>
    <n v="2923"/>
    <n v="6"/>
    <d v="1995-07-31T00:00:00"/>
  </r>
  <r>
    <n v="1230"/>
    <s v="Jesse"/>
    <x v="6"/>
    <x v="5"/>
    <x v="129"/>
    <n v="2476"/>
    <n v="26"/>
    <d v="1975-07-07T00:00:00"/>
  </r>
  <r>
    <n v="1062"/>
    <s v="Ezra"/>
    <x v="49"/>
    <x v="6"/>
    <x v="130"/>
    <n v="10982"/>
    <n v="21"/>
    <d v="1979-12-29T00:00:00"/>
  </r>
  <r>
    <n v="1199"/>
    <s v="Garrett"/>
    <x v="3"/>
    <x v="3"/>
    <x v="131"/>
    <n v="3779"/>
    <n v="2"/>
    <d v="1999-05-03T00:00:00"/>
  </r>
  <r>
    <n v="1090"/>
    <s v="Nora"/>
    <x v="24"/>
    <x v="10"/>
    <x v="67"/>
    <n v="16554"/>
    <n v="17"/>
    <d v="1984-06-18T00:00:00"/>
  </r>
  <r>
    <n v="1364"/>
    <s v="Arya"/>
    <x v="2"/>
    <x v="2"/>
    <x v="132"/>
    <n v="9128"/>
    <n v="14"/>
    <d v="1987-03-05T00:00:00"/>
  </r>
  <r>
    <n v="1146"/>
    <s v="Cooper"/>
    <x v="9"/>
    <x v="4"/>
    <x v="133"/>
    <n v="4348"/>
    <n v="10"/>
    <d v="1991-07-02T00:00:00"/>
  </r>
  <r>
    <n v="1375"/>
    <s v="Avianna"/>
    <x v="25"/>
    <x v="1"/>
    <x v="87"/>
    <n v="8413"/>
    <n v="11"/>
    <d v="1989-11-02T00:00:00"/>
  </r>
  <r>
    <n v="1383"/>
    <s v="Bridget"/>
    <x v="25"/>
    <x v="1"/>
    <x v="27"/>
    <n v="8967"/>
    <n v="11"/>
    <d v="1990-06-04T00:00:00"/>
  </r>
  <r>
    <n v="1323"/>
    <s v="Alyssa"/>
    <x v="4"/>
    <x v="11"/>
    <x v="134"/>
    <n v="9524"/>
    <n v="19"/>
    <d v="1982-04-09T00:00:00"/>
  </r>
  <r>
    <n v="1247"/>
    <s v="Kane"/>
    <x v="6"/>
    <x v="5"/>
    <x v="106"/>
    <n v="1712"/>
    <n v="26"/>
    <d v="1975-04-16T00:00:00"/>
  </r>
  <r>
    <n v="1352"/>
    <s v="April"/>
    <x v="13"/>
    <x v="2"/>
    <x v="135"/>
    <n v="8365"/>
    <n v="15"/>
    <d v="1986-01-23T00:00:00"/>
  </r>
  <r>
    <n v="1232"/>
    <s v="John"/>
    <x v="6"/>
    <x v="5"/>
    <x v="23"/>
    <n v="2551"/>
    <n v="25"/>
    <d v="1975-10-12T00:00:00"/>
  </r>
  <r>
    <n v="1239"/>
    <s v="Josiah"/>
    <x v="6"/>
    <x v="5"/>
    <x v="95"/>
    <n v="4082"/>
    <n v="24"/>
    <d v="1976-12-12T00:00:00"/>
  </r>
  <r>
    <n v="1434"/>
    <s v="Cynthia"/>
    <x v="0"/>
    <x v="0"/>
    <x v="77"/>
    <n v="10109"/>
    <n v="11"/>
    <d v="1990-05-02T00:00:00"/>
  </r>
  <r>
    <n v="1329"/>
    <s v="Amina"/>
    <x v="4"/>
    <x v="2"/>
    <x v="100"/>
    <n v="7800"/>
    <n v="17"/>
    <d v="1984-05-25T00:00:00"/>
  </r>
  <r>
    <n v="1288"/>
    <s v="Patrick"/>
    <x v="4"/>
    <x v="8"/>
    <x v="136"/>
    <n v="8365"/>
    <n v="23"/>
    <d v="1978-03-15T00:00:00"/>
  </r>
  <r>
    <n v="1279"/>
    <s v="Maurice"/>
    <x v="8"/>
    <x v="8"/>
    <x v="6"/>
    <n v="9128"/>
    <n v="23"/>
    <d v="1977-08-22T00:00:00"/>
  </r>
  <r>
    <n v="1214"/>
    <s v="Hudson"/>
    <x v="10"/>
    <x v="7"/>
    <x v="77"/>
    <n v="2923"/>
    <n v="11"/>
    <d v="1990-05-02T00:00:00"/>
  </r>
  <r>
    <n v="1001"/>
    <s v="Amrith"/>
    <x v="22"/>
    <x v="8"/>
    <x v="63"/>
    <n v="1500"/>
    <n v="25"/>
    <d v="1975-10-01T00:00:00"/>
  </r>
  <r>
    <n v="1203"/>
    <s v="Gerald"/>
    <x v="10"/>
    <x v="3"/>
    <x v="26"/>
    <n v="4348"/>
    <n v="11"/>
    <d v="1990-02-03T00:00:00"/>
  </r>
  <r>
    <n v="1441"/>
    <s v="Daniella"/>
    <x v="0"/>
    <x v="0"/>
    <x v="26"/>
    <n v="8467"/>
    <n v="11"/>
    <d v="1990-02-03T00:00:00"/>
  </r>
  <r>
    <n v="1433"/>
    <s v="Crystal"/>
    <x v="0"/>
    <x v="0"/>
    <x v="11"/>
    <n v="9581"/>
    <n v="11"/>
    <d v="1989-10-27T00:00:00"/>
  </r>
  <r>
    <n v="1071"/>
    <s v="Connor"/>
    <x v="50"/>
    <x v="6"/>
    <x v="137"/>
    <n v="13263"/>
    <n v="20"/>
    <d v="1981-05-04T00:00:00"/>
  </r>
  <r>
    <n v="1040"/>
    <s v="Sofia"/>
    <x v="25"/>
    <x v="0"/>
    <x v="138"/>
    <n v="8664"/>
    <n v="23"/>
    <d v="1977-11-15T00:00:00"/>
  </r>
  <r>
    <n v="1369"/>
    <s v="Athena"/>
    <x v="25"/>
    <x v="1"/>
    <x v="139"/>
    <n v="10167"/>
    <n v="13"/>
    <d v="1987-12-24T00:00:00"/>
  </r>
  <r>
    <n v="1060"/>
    <s v="Jude"/>
    <x v="51"/>
    <x v="6"/>
    <x v="103"/>
    <n v="10608"/>
    <n v="21"/>
    <d v="1979-09-10T00:00:00"/>
  </r>
  <r>
    <n v="1372"/>
    <s v="Aubrie"/>
    <x v="25"/>
    <x v="1"/>
    <x v="17"/>
    <n v="7800"/>
    <n v="13"/>
    <d v="1988-05-21T00:00:00"/>
  </r>
  <r>
    <n v="1286"/>
    <s v="Myles"/>
    <x v="4"/>
    <x v="8"/>
    <x v="140"/>
    <n v="7800"/>
    <n v="23"/>
    <d v="1978-06-03T00:00:00"/>
  </r>
  <r>
    <n v="1371"/>
    <s v="Aubrey"/>
    <x v="25"/>
    <x v="1"/>
    <x v="12"/>
    <n v="7107"/>
    <n v="13"/>
    <d v="1988-01-03T00:00:00"/>
  </r>
  <r>
    <n v="1477"/>
    <s v="Eliza"/>
    <x v="5"/>
    <x v="4"/>
    <x v="101"/>
    <n v="10167"/>
    <n v="5"/>
    <d v="1995-12-29T00:00:00"/>
  </r>
  <r>
    <n v="1125"/>
    <s v="Brock"/>
    <x v="11"/>
    <x v="1"/>
    <x v="112"/>
    <n v="8555"/>
    <n v="14"/>
    <d v="1987-06-18T00:00:00"/>
  </r>
  <r>
    <n v="1289"/>
    <s v="Paul"/>
    <x v="12"/>
    <x v="8"/>
    <x v="141"/>
    <n v="8413"/>
    <n v="23"/>
    <d v="1978-07-14T00:00:00"/>
  </r>
  <r>
    <n v="1416"/>
    <s v="Chana"/>
    <x v="20"/>
    <x v="1"/>
    <x v="93"/>
    <n v="7800"/>
    <n v="4"/>
    <d v="1997-02-19T00:00:00"/>
  </r>
  <r>
    <n v="1194"/>
    <s v="Francis"/>
    <x v="3"/>
    <x v="3"/>
    <x v="142"/>
    <n v="2551"/>
    <n v="2"/>
    <d v="1998-10-16T00:00:00"/>
  </r>
  <r>
    <n v="1430"/>
    <s v="Connie"/>
    <x v="18"/>
    <x v="0"/>
    <x v="143"/>
    <n v="9128"/>
    <n v="2"/>
    <d v="1999-01-02T00:00:00"/>
  </r>
  <r>
    <n v="1249"/>
    <s v="Keith"/>
    <x v="6"/>
    <x v="6"/>
    <x v="129"/>
    <n v="2369"/>
    <n v="26"/>
    <d v="1975-07-07T00:00:00"/>
  </r>
  <r>
    <n v="1428"/>
    <s v="Colette"/>
    <x v="18"/>
    <x v="0"/>
    <x v="109"/>
    <n v="9005"/>
    <n v="2"/>
    <d v="1998-12-17T00:00:00"/>
  </r>
  <r>
    <n v="1318"/>
    <s v="Alisa"/>
    <x v="4"/>
    <x v="11"/>
    <x v="144"/>
    <n v="8967"/>
    <n v="19"/>
    <d v="1982-06-03T00:00:00"/>
  </r>
  <r>
    <n v="1336"/>
    <s v="Andrea"/>
    <x v="13"/>
    <x v="2"/>
    <x v="145"/>
    <n v="8686"/>
    <n v="17"/>
    <d v="1984-07-11T00:00:00"/>
  </r>
  <r>
    <n v="1259"/>
    <s v="Leonardo"/>
    <x v="8"/>
    <x v="6"/>
    <x v="16"/>
    <n v="4082"/>
    <n v="24"/>
    <d v="1977-07-08T00:00:00"/>
  </r>
  <r>
    <n v="1041"/>
    <s v="Avery"/>
    <x v="5"/>
    <x v="0"/>
    <x v="146"/>
    <n v="8686"/>
    <n v="23"/>
    <d v="1977-12-20T00:00:00"/>
  </r>
  <r>
    <n v="1145"/>
    <s v="Colton"/>
    <x v="9"/>
    <x v="4"/>
    <x v="51"/>
    <n v="4114"/>
    <n v="11"/>
    <d v="1990-08-12T00:00:00"/>
  </r>
  <r>
    <n v="1339"/>
    <s v="Angelina"/>
    <x v="13"/>
    <x v="2"/>
    <x v="147"/>
    <n v="8814"/>
    <n v="16"/>
    <d v="1985-05-01T00:00:00"/>
  </r>
  <r>
    <n v="1148"/>
    <s v="Corey"/>
    <x v="9"/>
    <x v="4"/>
    <x v="148"/>
    <n v="4570"/>
    <n v="10"/>
    <d v="1991-03-27T00:00:00"/>
  </r>
  <r>
    <n v="1462"/>
    <s v="Dora"/>
    <x v="7"/>
    <x v="4"/>
    <x v="149"/>
    <n v="8467"/>
    <n v="7"/>
    <d v="1993-10-26T00:00:00"/>
  </r>
  <r>
    <n v="1153"/>
    <s v="Dante"/>
    <x v="9"/>
    <x v="4"/>
    <x v="150"/>
    <n v="2369"/>
    <n v="9"/>
    <d v="1991-09-10T00:00:00"/>
  </r>
  <r>
    <n v="1128"/>
    <s v="Bruce"/>
    <x v="11"/>
    <x v="1"/>
    <x v="151"/>
    <n v="8696"/>
    <n v="14"/>
    <d v="1987-06-28T00:00:00"/>
  </r>
  <r>
    <n v="1368"/>
    <s v="Astrid"/>
    <x v="25"/>
    <x v="2"/>
    <x v="151"/>
    <n v="10109"/>
    <n v="14"/>
    <d v="1987-06-28T00:00:00"/>
  </r>
  <r>
    <n v="1408"/>
    <s v="Cataleya"/>
    <x v="20"/>
    <x v="1"/>
    <x v="128"/>
    <n v="9123"/>
    <n v="6"/>
    <d v="1995-07-31T00:00:00"/>
  </r>
  <r>
    <n v="1466"/>
    <s v="Eden"/>
    <x v="7"/>
    <x v="4"/>
    <x v="72"/>
    <n v="8696"/>
    <n v="7"/>
    <d v="1993-12-24T00:00:00"/>
  </r>
  <r>
    <n v="1207"/>
    <s v="Grant"/>
    <x v="10"/>
    <x v="3"/>
    <x v="11"/>
    <n v="2000"/>
    <n v="11"/>
    <d v="1989-10-27T00:00:00"/>
  </r>
  <r>
    <n v="1005"/>
    <s v="Sultan"/>
    <x v="1"/>
    <x v="1"/>
    <x v="129"/>
    <n v="2369"/>
    <n v="26"/>
    <d v="1975-07-07T00:00:00"/>
  </r>
  <r>
    <n v="1129"/>
    <s v="Bryan"/>
    <x v="11"/>
    <x v="1"/>
    <x v="139"/>
    <n v="8723"/>
    <n v="13"/>
    <d v="1987-12-24T00:00:00"/>
  </r>
  <r>
    <n v="1142"/>
    <s v="Cole"/>
    <x v="9"/>
    <x v="1"/>
    <x v="0"/>
    <n v="3779"/>
    <n v="11"/>
    <d v="1990-05-04T00:00:00"/>
  </r>
  <r>
    <n v="1144"/>
    <s v="Colt"/>
    <x v="9"/>
    <x v="4"/>
    <x v="115"/>
    <n v="4082"/>
    <n v="11"/>
    <d v="1990-06-06T00:00:00"/>
  </r>
  <r>
    <n v="1011"/>
    <s v="Elijah"/>
    <x v="21"/>
    <x v="10"/>
    <x v="58"/>
    <n v="3332"/>
    <n v="25"/>
    <d v="1976-05-29T00:00:00"/>
  </r>
  <r>
    <n v="1254"/>
    <s v="Lance"/>
    <x v="6"/>
    <x v="6"/>
    <x v="54"/>
    <n v="3001"/>
    <n v="25"/>
    <d v="1976-03-05T00:00:00"/>
  </r>
  <r>
    <n v="1054"/>
    <s v="Milo"/>
    <x v="52"/>
    <x v="8"/>
    <x v="65"/>
    <n v="10179"/>
    <n v="22"/>
    <d v="1979-02-28T00:00:00"/>
  </r>
  <r>
    <n v="1223"/>
    <s v="Jasper"/>
    <x v="6"/>
    <x v="7"/>
    <x v="53"/>
    <n v="4539"/>
    <n v="6"/>
    <d v="1995-02-24T00:00:00"/>
  </r>
  <r>
    <n v="1100"/>
    <s v="Lucy"/>
    <x v="22"/>
    <x v="1"/>
    <x v="152"/>
    <n v="19750"/>
    <n v="16"/>
    <d v="1985-01-29T00:00:00"/>
  </r>
  <r>
    <n v="1136"/>
    <s v="Carson"/>
    <x v="11"/>
    <x v="1"/>
    <x v="45"/>
    <n v="2541"/>
    <n v="12"/>
    <d v="1989-02-24T00:00:00"/>
  </r>
  <r>
    <n v="1465"/>
    <s v="Dulce"/>
    <x v="7"/>
    <x v="4"/>
    <x v="47"/>
    <n v="8686"/>
    <n v="7"/>
    <d v="1993-12-16T00:00:00"/>
  </r>
  <r>
    <n v="1269"/>
    <s v="Mario"/>
    <x v="8"/>
    <x v="6"/>
    <x v="24"/>
    <n v="8467"/>
    <n v="24"/>
    <d v="1976-10-03T00:00:00"/>
  </r>
  <r>
    <n v="1110"/>
    <s v="Anthony"/>
    <x v="1"/>
    <x v="1"/>
    <x v="153"/>
    <n v="10605"/>
    <n v="15"/>
    <d v="1985-12-24T00:00:00"/>
  </r>
  <r>
    <n v="1094"/>
    <s v="Audrey"/>
    <x v="22"/>
    <x v="1"/>
    <x v="42"/>
    <n v="19002"/>
    <n v="16"/>
    <d v="1984-10-22T00:00:00"/>
  </r>
  <r>
    <n v="1464"/>
    <s v="Dream"/>
    <x v="7"/>
    <x v="4"/>
    <x v="102"/>
    <n v="8664"/>
    <n v="8"/>
    <d v="1993-08-12T00:00:00"/>
  </r>
  <r>
    <n v="1387"/>
    <s v="Brittany"/>
    <x v="40"/>
    <x v="1"/>
    <x v="111"/>
    <n v="9521"/>
    <n v="9"/>
    <d v="1992-07-01T00:00:00"/>
  </r>
  <r>
    <n v="1061"/>
    <s v="Rory"/>
    <x v="53"/>
    <x v="6"/>
    <x v="44"/>
    <n v="10615"/>
    <n v="22"/>
    <d v="1979-01-12T00:00:00"/>
  </r>
  <r>
    <n v="1380"/>
    <s v="Briana"/>
    <x v="25"/>
    <x v="1"/>
    <x v="77"/>
    <n v="8696"/>
    <n v="11"/>
    <d v="1990-05-02T00:00:00"/>
  </r>
  <r>
    <n v="1240"/>
    <s v="Juan"/>
    <x v="6"/>
    <x v="5"/>
    <x v="117"/>
    <n v="4114"/>
    <n v="24"/>
    <d v="1977-01-20T00:00:00"/>
  </r>
  <r>
    <n v="1382"/>
    <s v="Briar"/>
    <x v="25"/>
    <x v="1"/>
    <x v="0"/>
    <n v="8814"/>
    <n v="11"/>
    <d v="1990-05-04T00:00:00"/>
  </r>
  <r>
    <n v="1201"/>
    <s v="Gavin"/>
    <x v="10"/>
    <x v="3"/>
    <x v="11"/>
    <n v="4082"/>
    <n v="11"/>
    <d v="1989-10-27T00:00:00"/>
  </r>
  <r>
    <n v="1003"/>
    <s v="Sanjay"/>
    <x v="54"/>
    <x v="8"/>
    <x v="106"/>
    <n v="1712"/>
    <n v="26"/>
    <d v="1975-04-16T00:00:00"/>
  </r>
  <r>
    <n v="1270"/>
    <s v="Mark"/>
    <x v="8"/>
    <x v="8"/>
    <x v="54"/>
    <n v="8555"/>
    <n v="25"/>
    <d v="1976-03-05T00:00:00"/>
  </r>
  <r>
    <n v="1106"/>
    <s v="Adam"/>
    <x v="24"/>
    <x v="1"/>
    <x v="37"/>
    <n v="10248"/>
    <n v="15"/>
    <d v="1985-11-06T00:00:00"/>
  </r>
  <r>
    <n v="1403"/>
    <s v="Caroline"/>
    <x v="20"/>
    <x v="1"/>
    <x v="7"/>
    <n v="8696"/>
    <n v="6"/>
    <d v="1994-08-26T00:00:00"/>
  </r>
  <r>
    <n v="1226"/>
    <s v="Jaxon"/>
    <x v="6"/>
    <x v="7"/>
    <x v="50"/>
    <n v="2000"/>
    <n v="6"/>
    <d v="1995-08-05T00:00:00"/>
  </r>
  <r>
    <n v="1291"/>
    <s v="Philip"/>
    <x v="12"/>
    <x v="8"/>
    <x v="154"/>
    <n v="8555"/>
    <n v="23"/>
    <d v="1978-04-11T00:00:00"/>
  </r>
  <r>
    <n v="1218"/>
    <s v="Jace"/>
    <x v="10"/>
    <x v="7"/>
    <x v="47"/>
    <n v="3779"/>
    <n v="7"/>
    <d v="1993-12-16T00:00:00"/>
  </r>
  <r>
    <n v="1468"/>
    <s v="Edna"/>
    <x v="7"/>
    <x v="4"/>
    <x v="19"/>
    <n v="8814"/>
    <n v="7"/>
    <d v="1994-03-07T00:00:00"/>
  </r>
  <r>
    <n v="1316"/>
    <s v="Alicia"/>
    <x v="4"/>
    <x v="11"/>
    <x v="155"/>
    <n v="8723"/>
    <n v="19"/>
    <d v="1982-04-02T00:00:00"/>
  </r>
  <r>
    <n v="1295"/>
    <s v="Roman"/>
    <x v="12"/>
    <x v="8"/>
    <x v="40"/>
    <n v="8723"/>
    <n v="22"/>
    <d v="1979-03-15T00:00:00"/>
  </r>
  <r>
    <n v="1070"/>
    <s v="Thomas"/>
    <x v="55"/>
    <x v="6"/>
    <x v="156"/>
    <n v="13141"/>
    <n v="20"/>
    <d v="1981-03-16T00:00:00"/>
  </r>
  <r>
    <n v="1471"/>
    <s v="Eliana"/>
    <x v="26"/>
    <x v="4"/>
    <x v="73"/>
    <n v="9123"/>
    <n v="6"/>
    <d v="1995-02-04T00:00:00"/>
  </r>
  <r>
    <n v="1097"/>
    <s v="Stella"/>
    <x v="22"/>
    <x v="1"/>
    <x v="90"/>
    <n v="19356"/>
    <n v="16"/>
    <d v="1984-11-17T00:00:00"/>
  </r>
  <r>
    <n v="1449"/>
    <s v="Delaney"/>
    <x v="17"/>
    <x v="0"/>
    <x v="27"/>
    <n v="9005"/>
    <n v="11"/>
    <d v="1990-06-04T00:00:00"/>
  </r>
  <r>
    <n v="1353"/>
    <s v="Arabella"/>
    <x v="13"/>
    <x v="2"/>
    <x v="157"/>
    <n v="8413"/>
    <n v="15"/>
    <d v="1986-02-13T00:00:00"/>
  </r>
  <r>
    <n v="1161"/>
    <s v="Derek"/>
    <x v="28"/>
    <x v="4"/>
    <x v="30"/>
    <n v="3779"/>
    <n v="8"/>
    <d v="1992-11-24T00:00:00"/>
  </r>
  <r>
    <n v="1264"/>
    <s v="Mack"/>
    <x v="8"/>
    <x v="6"/>
    <x v="66"/>
    <n v="7107"/>
    <n v="26"/>
    <d v="1975-04-27T00:00:00"/>
  </r>
  <r>
    <n v="1391"/>
    <s v="Cadence"/>
    <x v="19"/>
    <x v="1"/>
    <x v="85"/>
    <n v="10167"/>
    <n v="9"/>
    <d v="1992-05-04T00:00:00"/>
  </r>
  <r>
    <n v="1091"/>
    <s v="Elena"/>
    <x v="56"/>
    <x v="10"/>
    <x v="158"/>
    <n v="16647"/>
    <n v="17"/>
    <d v="1984-02-07T00:00:00"/>
  </r>
  <r>
    <n v="1236"/>
    <s v="Jose"/>
    <x v="6"/>
    <x v="5"/>
    <x v="58"/>
    <n v="3668"/>
    <n v="25"/>
    <d v="1976-05-29T00:00:00"/>
  </r>
  <r>
    <n v="1076"/>
    <s v="Adrian"/>
    <x v="57"/>
    <x v="10"/>
    <x v="155"/>
    <n v="13903"/>
    <n v="19"/>
    <d v="1982-04-02T00:00:00"/>
  </r>
  <r>
    <n v="1139"/>
    <s v="Christopher"/>
    <x v="9"/>
    <x v="1"/>
    <x v="11"/>
    <n v="3001"/>
    <n v="11"/>
    <d v="1989-10-27T00:00:00"/>
  </r>
  <r>
    <n v="1162"/>
    <s v="Devin"/>
    <x v="28"/>
    <x v="4"/>
    <x v="107"/>
    <n v="3839"/>
    <n v="8"/>
    <d v="1992-11-30T00:00:00"/>
  </r>
  <r>
    <n v="1379"/>
    <s v="Brenda"/>
    <x v="25"/>
    <x v="1"/>
    <x v="11"/>
    <n v="8686"/>
    <n v="11"/>
    <d v="1989-10-27T00:00:00"/>
  </r>
  <r>
    <n v="1302"/>
    <s v="Adalyn"/>
    <x v="12"/>
    <x v="8"/>
    <x v="130"/>
    <n v="9524"/>
    <n v="21"/>
    <d v="1979-12-29T00:00:00"/>
  </r>
  <r>
    <n v="1065"/>
    <s v="Isaac"/>
    <x v="13"/>
    <x v="6"/>
    <x v="159"/>
    <n v="11836"/>
    <n v="21"/>
    <d v="1980-02-19T00:00:00"/>
  </r>
  <r>
    <n v="1116"/>
    <s v="Bennett"/>
    <x v="1"/>
    <x v="1"/>
    <x v="127"/>
    <n v="6731"/>
    <n v="14"/>
    <d v="1986-10-25T00:00:00"/>
  </r>
  <r>
    <n v="1078"/>
    <s v="Freya"/>
    <x v="58"/>
    <x v="10"/>
    <x v="144"/>
    <n v="13949"/>
    <n v="19"/>
    <d v="1982-06-03T00:00:00"/>
  </r>
  <r>
    <n v="1155"/>
    <s v="Darius"/>
    <x v="9"/>
    <x v="4"/>
    <x v="111"/>
    <n v="2541"/>
    <n v="9"/>
    <d v="1992-07-01T00:00:00"/>
  </r>
  <r>
    <n v="1008"/>
    <s v="Liam"/>
    <x v="59"/>
    <x v="10"/>
    <x v="91"/>
    <n v="2551"/>
    <n v="25"/>
    <d v="1976-02-13T00:00:00"/>
  </r>
  <r>
    <n v="1396"/>
    <s v="Camille"/>
    <x v="19"/>
    <x v="1"/>
    <x v="149"/>
    <n v="8015"/>
    <n v="7"/>
    <d v="1993-10-26T00:00:00"/>
  </r>
  <r>
    <n v="1290"/>
    <s v="Peter"/>
    <x v="12"/>
    <x v="8"/>
    <x v="74"/>
    <n v="8467"/>
    <n v="23"/>
    <d v="1978-07-31T00:00:00"/>
  </r>
  <r>
    <n v="1081"/>
    <s v="Sienna"/>
    <x v="60"/>
    <x v="10"/>
    <x v="160"/>
    <n v="14587"/>
    <n v="19"/>
    <d v="1982-01-05T00:00:00"/>
  </r>
  <r>
    <n v="1013"/>
    <s v="William"/>
    <x v="61"/>
    <x v="10"/>
    <x v="21"/>
    <n v="3779"/>
    <n v="24"/>
    <d v="1976-09-06T00:00:00"/>
  </r>
  <r>
    <n v="1174"/>
    <s v="Edgar"/>
    <x v="21"/>
    <x v="9"/>
    <x v="161"/>
    <n v="2541"/>
    <n v="6"/>
    <d v="1995-03-05T00:00:00"/>
  </r>
  <r>
    <n v="1233"/>
    <s v="Jonathan"/>
    <x v="6"/>
    <x v="5"/>
    <x v="91"/>
    <n v="2923"/>
    <n v="25"/>
    <d v="1976-02-13T00:00:00"/>
  </r>
  <r>
    <n v="1426"/>
    <s v="Claudia"/>
    <x v="18"/>
    <x v="0"/>
    <x v="142"/>
    <n v="8814"/>
    <n v="2"/>
    <d v="1998-10-16T00:00:00"/>
  </r>
  <r>
    <n v="1208"/>
    <s v="Gregory"/>
    <x v="10"/>
    <x v="3"/>
    <x v="77"/>
    <n v="1712"/>
    <n v="11"/>
    <d v="1990-05-02T00:00:00"/>
  </r>
  <r>
    <n v="1427"/>
    <s v="Clementine"/>
    <x v="18"/>
    <x v="0"/>
    <x v="162"/>
    <n v="8967"/>
    <n v="2"/>
    <d v="1998-11-23T00:00:00"/>
  </r>
  <r>
    <n v="1083"/>
    <s v="Willow"/>
    <x v="62"/>
    <x v="10"/>
    <x v="134"/>
    <n v="15246"/>
    <n v="19"/>
    <d v="1982-04-09T00:00:00"/>
  </r>
  <r>
    <n v="1058"/>
    <s v="Albie"/>
    <x v="63"/>
    <x v="6"/>
    <x v="13"/>
    <n v="10512"/>
    <n v="22"/>
    <d v="1979-01-08T00:00:00"/>
  </r>
  <r>
    <n v="1437"/>
    <s v="Dakota"/>
    <x v="0"/>
    <x v="0"/>
    <x v="27"/>
    <n v="7800"/>
    <n v="11"/>
    <d v="1990-06-04T00:00:00"/>
  </r>
  <r>
    <n v="1016"/>
    <s v="Henry"/>
    <x v="20"/>
    <x v="10"/>
    <x v="8"/>
    <n v="4114"/>
    <n v="23"/>
    <d v="1977-10-02T00:00:00"/>
  </r>
  <r>
    <n v="1165"/>
    <s v="Donald"/>
    <x v="21"/>
    <x v="4"/>
    <x v="163"/>
    <n v="4348"/>
    <n v="8"/>
    <d v="1993-04-12T00:00:00"/>
  </r>
  <r>
    <n v="1435"/>
    <s v="Dahlia"/>
    <x v="0"/>
    <x v="0"/>
    <x v="26"/>
    <n v="10167"/>
    <n v="11"/>
    <d v="1990-02-03T00:00:00"/>
  </r>
  <r>
    <n v="1360"/>
    <s v="Ariella"/>
    <x v="2"/>
    <x v="2"/>
    <x v="9"/>
    <n v="8814"/>
    <n v="14"/>
    <d v="1986-12-20T00:00:00"/>
  </r>
  <r>
    <n v="1045"/>
    <s v="Mason"/>
    <x v="64"/>
    <x v="8"/>
    <x v="140"/>
    <n v="8967"/>
    <n v="23"/>
    <d v="1978-06-03T00:00:00"/>
  </r>
  <r>
    <n v="1274"/>
    <s v="Mathew"/>
    <x v="8"/>
    <x v="8"/>
    <x v="95"/>
    <n v="8723"/>
    <n v="24"/>
    <d v="1976-12-12T00:00:00"/>
  </r>
  <r>
    <n v="1438"/>
    <s v="Dalary"/>
    <x v="0"/>
    <x v="0"/>
    <x v="49"/>
    <n v="8015"/>
    <n v="12"/>
    <d v="1989-07-19T00:00:00"/>
  </r>
  <r>
    <n v="1272"/>
    <s v="Martin"/>
    <x v="8"/>
    <x v="8"/>
    <x v="34"/>
    <n v="8686"/>
    <n v="25"/>
    <d v="1976-04-06T00:00:00"/>
  </r>
  <r>
    <n v="1345"/>
    <s v="Annabelle"/>
    <x v="13"/>
    <x v="2"/>
    <x v="76"/>
    <n v="9524"/>
    <n v="16"/>
    <d v="1985-08-06T00:00:00"/>
  </r>
  <r>
    <n v="1113"/>
    <s v="Barrett"/>
    <x v="1"/>
    <x v="1"/>
    <x v="157"/>
    <n v="6075"/>
    <n v="15"/>
    <d v="1986-02-13T00:00:00"/>
  </r>
  <r>
    <n v="1447"/>
    <s v="Daya"/>
    <x v="0"/>
    <x v="0"/>
    <x v="26"/>
    <n v="8814"/>
    <n v="11"/>
    <d v="1990-02-03T00:00:00"/>
  </r>
  <r>
    <n v="1474"/>
    <s v="Elisa"/>
    <x v="26"/>
    <x v="4"/>
    <x v="128"/>
    <n v="9524"/>
    <n v="6"/>
    <d v="1995-07-31T00:00:00"/>
  </r>
  <r>
    <n v="1026"/>
    <s v="Charlotte"/>
    <x v="65"/>
    <x v="1"/>
    <x v="23"/>
    <n v="6072"/>
    <n v="25"/>
    <d v="1975-10-12T00:00:00"/>
  </r>
  <r>
    <n v="1082"/>
    <s v="Poppy"/>
    <x v="3"/>
    <x v="10"/>
    <x v="96"/>
    <n v="14645"/>
    <n v="19"/>
    <d v="1982-05-29T00:00:00"/>
  </r>
  <r>
    <n v="1048"/>
    <s v="Owen"/>
    <x v="66"/>
    <x v="8"/>
    <x v="141"/>
    <n v="9128"/>
    <n v="23"/>
    <d v="1978-07-14T00:00:00"/>
  </r>
  <r>
    <n v="1093"/>
    <s v="Zoey"/>
    <x v="67"/>
    <x v="1"/>
    <x v="18"/>
    <n v="18059"/>
    <n v="16"/>
    <d v="1984-08-28T00:00:00"/>
  </r>
  <r>
    <n v="1483"/>
    <s v="Eloise"/>
    <x v="5"/>
    <x v="8"/>
    <x v="113"/>
    <n v="8413"/>
    <n v="4"/>
    <d v="1997-05-24T00:00:00"/>
  </r>
  <r>
    <n v="1022"/>
    <s v="Daniel"/>
    <x v="10"/>
    <x v="1"/>
    <x v="106"/>
    <n v="4849"/>
    <n v="26"/>
    <d v="1975-04-16T00:00:00"/>
  </r>
  <r>
    <n v="1421"/>
    <s v="Cheyenne"/>
    <x v="18"/>
    <x v="0"/>
    <x v="114"/>
    <n v="8555"/>
    <n v="3"/>
    <d v="1997-09-11T00:00:00"/>
  </r>
  <r>
    <n v="1242"/>
    <s v="Justin"/>
    <x v="6"/>
    <x v="5"/>
    <x v="64"/>
    <n v="4539"/>
    <n v="24"/>
    <d v="1977-05-07T00:00:00"/>
  </r>
  <r>
    <n v="1140"/>
    <s v="Clark"/>
    <x v="9"/>
    <x v="1"/>
    <x v="77"/>
    <n v="3332"/>
    <n v="11"/>
    <d v="1990-05-02T00:00:00"/>
  </r>
  <r>
    <n v="1224"/>
    <s v="Javier"/>
    <x v="6"/>
    <x v="7"/>
    <x v="73"/>
    <n v="4570"/>
    <n v="6"/>
    <d v="1995-02-04T00:00:00"/>
  </r>
  <r>
    <n v="1157"/>
    <s v="David"/>
    <x v="9"/>
    <x v="4"/>
    <x v="126"/>
    <n v="2923"/>
    <n v="9"/>
    <d v="1992-01-18T00:00:00"/>
  </r>
  <r>
    <n v="1476"/>
    <s v="Elise"/>
    <x v="16"/>
    <x v="4"/>
    <x v="33"/>
    <n v="10109"/>
    <n v="5"/>
    <d v="1995-09-25T00:00:00"/>
  </r>
  <r>
    <n v="1159"/>
    <s v="Dean"/>
    <x v="9"/>
    <x v="4"/>
    <x v="85"/>
    <n v="3332"/>
    <n v="9"/>
    <d v="1992-05-04T00:00:00"/>
  </r>
  <r>
    <n v="1392"/>
    <s v="Cali"/>
    <x v="19"/>
    <x v="1"/>
    <x v="164"/>
    <n v="10109"/>
    <n v="8"/>
    <d v="1992-09-30T00:00:00"/>
  </r>
  <r>
    <n v="1245"/>
    <s v="Kaleb"/>
    <x v="6"/>
    <x v="5"/>
    <x v="63"/>
    <n v="1500"/>
    <n v="25"/>
    <d v="1975-10-01T00:00:00"/>
  </r>
  <r>
    <n v="1088"/>
    <s v="Emily"/>
    <x v="68"/>
    <x v="10"/>
    <x v="82"/>
    <n v="16357"/>
    <n v="17"/>
    <d v="1984-08-01T00:00:00"/>
  </r>
  <r>
    <n v="1485"/>
    <s v="Elsa"/>
    <x v="5"/>
    <x v="8"/>
    <x v="165"/>
    <n v="8365"/>
    <n v="4"/>
    <d v="1997-01-09T00:00:00"/>
  </r>
  <r>
    <n v="1019"/>
    <s v="Levi"/>
    <x v="69"/>
    <x v="8"/>
    <x v="6"/>
    <n v="4570"/>
    <n v="23"/>
    <d v="1977-08-22T00:00:00"/>
  </r>
  <r>
    <n v="1101"/>
    <s v="Anna"/>
    <x v="22"/>
    <x v="1"/>
    <x v="70"/>
    <n v="19890"/>
    <n v="16"/>
    <d v="1985-03-22T00:00:00"/>
  </r>
  <r>
    <n v="1293"/>
    <s v="Richard"/>
    <x v="12"/>
    <x v="8"/>
    <x v="88"/>
    <n v="8686"/>
    <n v="22"/>
    <d v="1979-01-29T00:00:00"/>
  </r>
  <r>
    <n v="1235"/>
    <s v="Jorge"/>
    <x v="6"/>
    <x v="5"/>
    <x v="54"/>
    <n v="3332"/>
    <n v="25"/>
    <d v="1976-03-05T00:00:00"/>
  </r>
  <r>
    <n v="1422"/>
    <s v="Christina"/>
    <x v="18"/>
    <x v="0"/>
    <x v="3"/>
    <n v="8664"/>
    <n v="3"/>
    <d v="1998-01-23T00:00:00"/>
  </r>
  <r>
    <n v="1212"/>
    <s v="Hayden"/>
    <x v="10"/>
    <x v="7"/>
    <x v="49"/>
    <n v="2541"/>
    <n v="12"/>
    <d v="1989-07-19T00:00:00"/>
  </r>
  <r>
    <n v="1173"/>
    <s v="Eddie"/>
    <x v="21"/>
    <x v="9"/>
    <x v="73"/>
    <n v="2476"/>
    <n v="6"/>
    <d v="1995-02-04T00:00:00"/>
  </r>
  <r>
    <n v="1133"/>
    <s v="Callum"/>
    <x v="11"/>
    <x v="1"/>
    <x v="166"/>
    <n v="2319"/>
    <n v="12"/>
    <d v="1988-10-17T00:00:00"/>
  </r>
  <r>
    <n v="1164"/>
    <s v="Dominic"/>
    <x v="21"/>
    <x v="4"/>
    <x v="149"/>
    <n v="4114"/>
    <n v="7"/>
    <d v="1993-10-26T00:00:00"/>
  </r>
  <r>
    <n v="1265"/>
    <s v="Madden"/>
    <x v="8"/>
    <x v="6"/>
    <x v="129"/>
    <n v="7800"/>
    <n v="26"/>
    <d v="1975-07-07T00:00:00"/>
  </r>
  <r>
    <n v="1191"/>
    <s v="Fletcher"/>
    <x v="3"/>
    <x v="3"/>
    <x v="97"/>
    <n v="2369"/>
    <n v="3"/>
    <d v="1998-03-20T00:00:00"/>
  </r>
  <r>
    <n v="1183"/>
    <s v="Emmanuel"/>
    <x v="21"/>
    <x v="9"/>
    <x v="125"/>
    <n v="4114"/>
    <n v="5"/>
    <d v="1996-01-12T00:00:00"/>
  </r>
  <r>
    <n v="1342"/>
    <s v="Anita"/>
    <x v="13"/>
    <x v="2"/>
    <x v="98"/>
    <n v="9123"/>
    <n v="16"/>
    <d v="1985-08-04T00:00:00"/>
  </r>
  <r>
    <n v="1250"/>
    <s v="Kevin"/>
    <x v="6"/>
    <x v="6"/>
    <x v="105"/>
    <n v="2476"/>
    <n v="25"/>
    <d v="1975-11-15T00:00:00"/>
  </r>
  <r>
    <n v="1059"/>
    <s v="Tommy"/>
    <x v="70"/>
    <x v="6"/>
    <x v="39"/>
    <n v="10605"/>
    <n v="22"/>
    <d v="1979-06-08T00:00:00"/>
  </r>
  <r>
    <n v="1039"/>
    <s v="Ella"/>
    <x v="71"/>
    <x v="0"/>
    <x v="167"/>
    <n v="8555"/>
    <n v="24"/>
    <d v="1977-06-11T00:00:00"/>
  </r>
  <r>
    <n v="1374"/>
    <s v="Aviana"/>
    <x v="25"/>
    <x v="1"/>
    <x v="124"/>
    <n v="8365"/>
    <n v="12"/>
    <d v="1988-12-25T00:00:00"/>
  </r>
  <r>
    <n v="1043"/>
    <s v="Lily"/>
    <x v="8"/>
    <x v="8"/>
    <x v="89"/>
    <n v="8723"/>
    <n v="23"/>
    <d v="1978-07-02T00:00:00"/>
  </r>
  <r>
    <n v="1308"/>
    <s v="Aileen"/>
    <x v="4"/>
    <x v="11"/>
    <x v="168"/>
    <n v="8015"/>
    <n v="20"/>
    <d v="1980-08-22T00:00:00"/>
  </r>
  <r>
    <n v="1472"/>
    <s v="Elianna"/>
    <x v="26"/>
    <x v="4"/>
    <x v="161"/>
    <n v="9128"/>
    <n v="6"/>
    <d v="1995-03-05T00:00:00"/>
  </r>
  <r>
    <n v="1478"/>
    <s v="Elle"/>
    <x v="5"/>
    <x v="4"/>
    <x v="169"/>
    <n v="8015"/>
    <n v="5"/>
    <d v="1996-04-27T00:00:00"/>
  </r>
  <r>
    <n v="1068"/>
    <s v="Asher"/>
    <x v="72"/>
    <x v="6"/>
    <x v="168"/>
    <n v="12649"/>
    <n v="20"/>
    <d v="1980-08-22T00:00:00"/>
  </r>
  <r>
    <n v="1137"/>
    <s v="Charles"/>
    <x v="9"/>
    <x v="1"/>
    <x v="110"/>
    <n v="2551"/>
    <n v="12"/>
    <d v="1989-07-16T00:00:00"/>
  </r>
  <r>
    <n v="1077"/>
    <s v="Ivy"/>
    <x v="73"/>
    <x v="10"/>
    <x v="170"/>
    <n v="13933"/>
    <n v="19"/>
    <d v="1982-02-28T00:00:00"/>
  </r>
  <r>
    <n v="1354"/>
    <s v="Arden"/>
    <x v="13"/>
    <x v="2"/>
    <x v="171"/>
    <n v="8467"/>
    <n v="14"/>
    <d v="1986-12-04T00:00:00"/>
  </r>
  <r>
    <n v="1020"/>
    <s v="Alexander"/>
    <x v="74"/>
    <x v="1"/>
    <x v="63"/>
    <n v="4669"/>
    <n v="25"/>
    <d v="1975-10-01T00:00:00"/>
  </r>
  <r>
    <n v="1463"/>
    <s v="Dorothy"/>
    <x v="7"/>
    <x v="4"/>
    <x v="163"/>
    <n v="8555"/>
    <n v="8"/>
    <d v="1993-04-12T00:00:00"/>
  </r>
  <r>
    <n v="1314"/>
    <s v="Alexandria"/>
    <x v="4"/>
    <x v="11"/>
    <x v="94"/>
    <n v="8686"/>
    <n v="19"/>
    <d v="1981-09-11T00:00:00"/>
  </r>
  <r>
    <n v="1182"/>
    <s v="Ellis"/>
    <x v="21"/>
    <x v="9"/>
    <x v="31"/>
    <n v="4082"/>
    <n v="4"/>
    <d v="1996-10-19T00:00:00"/>
  </r>
  <r>
    <n v="1018"/>
    <s v="Jack"/>
    <x v="18"/>
    <x v="8"/>
    <x v="16"/>
    <n v="4539"/>
    <n v="24"/>
    <d v="1977-07-08T00:00:00"/>
  </r>
  <r>
    <n v="1361"/>
    <s v="Arielle"/>
    <x v="2"/>
    <x v="2"/>
    <x v="1"/>
    <n v="8967"/>
    <n v="14"/>
    <d v="1986-12-23T00:00:00"/>
  </r>
  <r>
    <n v="1204"/>
    <s v="Gideon"/>
    <x v="10"/>
    <x v="3"/>
    <x v="0"/>
    <n v="4539"/>
    <n v="11"/>
    <d v="1990-05-04T00:00:00"/>
  </r>
  <r>
    <n v="1198"/>
    <s v="Frederick"/>
    <x v="3"/>
    <x v="3"/>
    <x v="143"/>
    <n v="3668"/>
    <n v="2"/>
    <d v="1999-01-02T00:00:00"/>
  </r>
  <r>
    <n v="1123"/>
    <s v="Brent"/>
    <x v="1"/>
    <x v="1"/>
    <x v="86"/>
    <n v="8413"/>
    <n v="13"/>
    <d v="1987-09-02T00:00:00"/>
  </r>
  <r>
    <n v="1253"/>
    <s v="Kyler"/>
    <x v="6"/>
    <x v="6"/>
    <x v="24"/>
    <n v="2923"/>
    <n v="24"/>
    <d v="1976-10-03T00:00:00"/>
  </r>
  <r>
    <n v="1475"/>
    <s v="Elisabeth"/>
    <x v="16"/>
    <x v="4"/>
    <x v="108"/>
    <n v="9581"/>
    <n v="5"/>
    <d v="1995-10-08T00:00:00"/>
  </r>
  <r>
    <n v="1170"/>
    <s v="Drew"/>
    <x v="21"/>
    <x v="9"/>
    <x v="19"/>
    <n v="1712"/>
    <n v="7"/>
    <d v="1994-03-07T00:00:00"/>
  </r>
  <r>
    <n v="1114"/>
    <s v="Beau"/>
    <x v="1"/>
    <x v="1"/>
    <x v="171"/>
    <n v="6181"/>
    <n v="14"/>
    <d v="1986-12-04T00:00:00"/>
  </r>
  <r>
    <n v="1281"/>
    <s v="Max"/>
    <x v="4"/>
    <x v="8"/>
    <x v="138"/>
    <n v="9524"/>
    <n v="23"/>
    <d v="1977-11-15T00:00:00"/>
  </r>
  <r>
    <n v="1280"/>
    <s v="Maverick"/>
    <x v="8"/>
    <x v="8"/>
    <x v="167"/>
    <n v="9521"/>
    <n v="24"/>
    <d v="1977-06-11T00:00:00"/>
  </r>
  <r>
    <n v="1311"/>
    <s v="Alani"/>
    <x v="4"/>
    <x v="11"/>
    <x v="137"/>
    <n v="8467"/>
    <n v="20"/>
    <d v="1981-05-04T00:00:00"/>
  </r>
  <r>
    <n v="1187"/>
    <s v="Everett"/>
    <x v="3"/>
    <x v="9"/>
    <x v="165"/>
    <n v="1500"/>
    <n v="4"/>
    <d v="1997-01-09T00:00:00"/>
  </r>
  <r>
    <n v="1331"/>
    <s v="Amy"/>
    <x v="4"/>
    <x v="2"/>
    <x v="158"/>
    <n v="8365"/>
    <n v="17"/>
    <d v="1984-02-07T00:00:00"/>
  </r>
  <r>
    <n v="1072"/>
    <s v="Nathan"/>
    <x v="75"/>
    <x v="6"/>
    <x v="57"/>
    <n v="13350"/>
    <n v="20"/>
    <d v="1981-06-04T00:00:00"/>
  </r>
  <r>
    <n v="1411"/>
    <s v="Cecelia"/>
    <x v="20"/>
    <x v="1"/>
    <x v="101"/>
    <n v="9524"/>
    <n v="5"/>
    <d v="1995-12-29T00:00:00"/>
  </r>
  <r>
    <n v="1431"/>
    <s v="Constance"/>
    <x v="18"/>
    <x v="0"/>
    <x v="131"/>
    <n v="9521"/>
    <n v="2"/>
    <d v="1999-05-03T00:00:00"/>
  </r>
  <r>
    <n v="1418"/>
    <s v="Chanel"/>
    <x v="20"/>
    <x v="1"/>
    <x v="71"/>
    <n v="8365"/>
    <n v="4"/>
    <d v="1997-06-15T00:00:00"/>
  </r>
  <r>
    <n v="1347"/>
    <s v="Anne"/>
    <x v="13"/>
    <x v="2"/>
    <x v="43"/>
    <n v="10109"/>
    <n v="16"/>
    <d v="1985-04-09T00:00:00"/>
  </r>
  <r>
    <n v="1283"/>
    <s v="Maxwell"/>
    <x v="4"/>
    <x v="8"/>
    <x v="80"/>
    <n v="10109"/>
    <n v="22"/>
    <d v="1978-09-01T00:00:00"/>
  </r>
  <r>
    <n v="1112"/>
    <s v="Axel"/>
    <x v="1"/>
    <x v="1"/>
    <x v="135"/>
    <n v="10615"/>
    <n v="15"/>
    <d v="1986-01-23T00:00:00"/>
  </r>
  <r>
    <n v="1398"/>
    <s v="Carina"/>
    <x v="19"/>
    <x v="1"/>
    <x v="102"/>
    <n v="8413"/>
    <n v="8"/>
    <d v="1993-08-12T00:00:00"/>
  </r>
  <r>
    <n v="1047"/>
    <s v="Logan"/>
    <x v="76"/>
    <x v="8"/>
    <x v="136"/>
    <n v="9123"/>
    <n v="23"/>
    <d v="1978-03-15T00:00:00"/>
  </r>
  <r>
    <n v="1210"/>
    <s v="Harrison"/>
    <x v="10"/>
    <x v="3"/>
    <x v="0"/>
    <n v="2369"/>
    <n v="11"/>
    <d v="1990-05-04T00:00:00"/>
  </r>
  <r>
    <n v="1425"/>
    <s v="Clarissa"/>
    <x v="18"/>
    <x v="0"/>
    <x v="92"/>
    <n v="8723"/>
    <n v="2"/>
    <d v="1998-09-26T00:00:00"/>
  </r>
  <r>
    <n v="1220"/>
    <s v="Jaden"/>
    <x v="6"/>
    <x v="7"/>
    <x v="60"/>
    <n v="4082"/>
    <n v="7"/>
    <d v="1994-03-21T00:00:00"/>
  </r>
  <r>
    <n v="1305"/>
    <s v="Adrienne"/>
    <x v="12"/>
    <x v="8"/>
    <x v="159"/>
    <n v="10167"/>
    <n v="21"/>
    <d v="1980-02-19T00:00:00"/>
  </r>
  <r>
    <n v="1381"/>
    <s v="Brianna"/>
    <x v="25"/>
    <x v="1"/>
    <x v="26"/>
    <n v="8723"/>
    <n v="11"/>
    <d v="1990-02-03T00:00:00"/>
  </r>
  <r>
    <n v="1292"/>
    <s v="Preston"/>
    <x v="12"/>
    <x v="8"/>
    <x v="104"/>
    <n v="8664"/>
    <n v="22"/>
    <d v="1978-11-25T00:00:00"/>
  </r>
  <r>
    <n v="1436"/>
    <s v="Daisy"/>
    <x v="0"/>
    <x v="0"/>
    <x v="0"/>
    <n v="7107"/>
    <n v="11"/>
    <d v="1990-05-04T00:00:00"/>
  </r>
  <r>
    <n v="1160"/>
    <s v="Declan"/>
    <x v="9"/>
    <x v="4"/>
    <x v="164"/>
    <n v="3668"/>
    <n v="8"/>
    <d v="1992-09-30T00:00:00"/>
  </r>
  <r>
    <n v="1412"/>
    <s v="Cecilia"/>
    <x v="20"/>
    <x v="1"/>
    <x v="169"/>
    <n v="9581"/>
    <n v="5"/>
    <d v="1996-04-27T00:00:00"/>
  </r>
  <r>
    <n v="1459"/>
    <s v="Dixie"/>
    <x v="17"/>
    <x v="4"/>
    <x v="30"/>
    <n v="8015"/>
    <n v="8"/>
    <d v="1992-11-24T00:00:00"/>
  </r>
  <r>
    <n v="1373"/>
    <s v="Avah"/>
    <x v="25"/>
    <x v="1"/>
    <x v="166"/>
    <n v="8015"/>
    <n v="12"/>
    <d v="1988-10-17T00:00:00"/>
  </r>
  <r>
    <n v="1017"/>
    <s v="Theodore"/>
    <x v="19"/>
    <x v="8"/>
    <x v="64"/>
    <n v="4348"/>
    <n v="24"/>
    <d v="1977-05-07T00:00:00"/>
  </r>
  <r>
    <n v="1180"/>
    <s v="Elliot"/>
    <x v="21"/>
    <x v="9"/>
    <x v="169"/>
    <n v="3779"/>
    <n v="5"/>
    <d v="1996-04-27T00:00:00"/>
  </r>
  <r>
    <n v="1122"/>
    <s v="Brennan"/>
    <x v="1"/>
    <x v="1"/>
    <x v="2"/>
    <n v="8365"/>
    <n v="14"/>
    <d v="1987-04-01T00:00:00"/>
  </r>
  <r>
    <n v="1124"/>
    <s v="Brett"/>
    <x v="11"/>
    <x v="1"/>
    <x v="132"/>
    <n v="8467"/>
    <n v="14"/>
    <d v="1987-03-05T00:00:00"/>
  </r>
  <r>
    <n v="1225"/>
    <s v="Jax"/>
    <x v="6"/>
    <x v="7"/>
    <x v="161"/>
    <n v="1500"/>
    <n v="6"/>
    <d v="1995-03-05T00:00:00"/>
  </r>
  <r>
    <n v="1063"/>
    <s v="Carter"/>
    <x v="77"/>
    <x v="6"/>
    <x v="120"/>
    <n v="11106"/>
    <n v="21"/>
    <d v="1980-01-01T00:00:00"/>
  </r>
  <r>
    <n v="1458"/>
    <s v="Divya"/>
    <x v="17"/>
    <x v="4"/>
    <x v="164"/>
    <n v="7800"/>
    <n v="8"/>
    <d v="1992-09-30T00:00:00"/>
  </r>
  <r>
    <n v="1038"/>
    <s v="Eleanor"/>
    <x v="40"/>
    <x v="0"/>
    <x v="6"/>
    <n v="8467"/>
    <n v="23"/>
    <d v="1977-08-22T00:00:00"/>
  </r>
  <r>
    <n v="1285"/>
    <s v="Morgan"/>
    <x v="4"/>
    <x v="8"/>
    <x v="172"/>
    <n v="7107"/>
    <n v="23"/>
    <d v="1978-02-13T00:00:00"/>
  </r>
  <r>
    <n v="1440"/>
    <s v="Daniela"/>
    <x v="0"/>
    <x v="0"/>
    <x v="77"/>
    <n v="8413"/>
    <n v="11"/>
    <d v="1990-05-02T00:00:00"/>
  </r>
  <r>
    <n v="1096"/>
    <s v="Aurora"/>
    <x v="22"/>
    <x v="1"/>
    <x v="145"/>
    <n v="19161"/>
    <n v="17"/>
    <d v="1984-07-11T00:00:00"/>
  </r>
  <r>
    <n v="1025"/>
    <s v="Emma"/>
    <x v="78"/>
    <x v="1"/>
    <x v="105"/>
    <n v="5590"/>
    <n v="25"/>
    <d v="1975-11-15T00:00:00"/>
  </r>
  <r>
    <n v="1306"/>
    <s v="Agatha"/>
    <x v="12"/>
    <x v="8"/>
    <x v="173"/>
    <n v="7107"/>
    <n v="21"/>
    <d v="1980-05-06T00:00:00"/>
  </r>
  <r>
    <n v="1443"/>
    <s v="Danna"/>
    <x v="0"/>
    <x v="0"/>
    <x v="27"/>
    <n v="8664"/>
    <n v="11"/>
    <d v="1990-06-04T00:00:00"/>
  </r>
  <r>
    <n v="1335"/>
    <s v="Anaya"/>
    <x v="13"/>
    <x v="2"/>
    <x v="36"/>
    <n v="8664"/>
    <n v="17"/>
    <d v="1984-02-11T00:00:00"/>
  </r>
  <r>
    <n v="1340"/>
    <s v="Angeline"/>
    <x v="13"/>
    <x v="2"/>
    <x v="152"/>
    <n v="8967"/>
    <n v="16"/>
    <d v="1985-01-29T00:00:00"/>
  </r>
  <r>
    <n v="1104"/>
    <s v="Alice"/>
    <x v="24"/>
    <x v="1"/>
    <x v="116"/>
    <n v="10167"/>
    <n v="16"/>
    <d v="1985-04-28T00:00:00"/>
  </r>
  <r>
    <n v="1404"/>
    <s v="Carolyn"/>
    <x v="20"/>
    <x v="1"/>
    <x v="53"/>
    <n v="8723"/>
    <n v="6"/>
    <d v="1995-02-24T00:00:00"/>
  </r>
  <r>
    <n v="1103"/>
    <s v="Eva"/>
    <x v="22"/>
    <x v="1"/>
    <x v="174"/>
    <n v="10109"/>
    <n v="15"/>
    <d v="1985-10-04T00:00:00"/>
  </r>
  <r>
    <n v="1216"/>
    <s v="Hunter"/>
    <x v="10"/>
    <x v="7"/>
    <x v="0"/>
    <n v="3332"/>
    <n v="11"/>
    <d v="1990-05-04T00:00:00"/>
  </r>
  <r>
    <n v="1044"/>
    <s v="Isla"/>
    <x v="79"/>
    <x v="8"/>
    <x v="172"/>
    <n v="8814"/>
    <n v="23"/>
    <d v="1978-02-13T00:00:00"/>
  </r>
  <r>
    <n v="1126"/>
    <s v="Brody"/>
    <x v="11"/>
    <x v="1"/>
    <x v="123"/>
    <n v="8664"/>
    <n v="14"/>
    <d v="1987-06-20T00:00:00"/>
  </r>
  <r>
    <n v="1171"/>
    <s v="Dylan"/>
    <x v="21"/>
    <x v="9"/>
    <x v="7"/>
    <n v="2319"/>
    <n v="6"/>
    <d v="1994-08-26T00:00:00"/>
  </r>
  <r>
    <n v="1343"/>
    <s v="Aniya"/>
    <x v="13"/>
    <x v="2"/>
    <x v="174"/>
    <n v="9128"/>
    <n v="15"/>
    <d v="1985-10-04T00:00:00"/>
  </r>
  <r>
    <n v="1309"/>
    <s v="Ainsley"/>
    <x v="4"/>
    <x v="11"/>
    <x v="75"/>
    <n v="8365"/>
    <n v="21"/>
    <d v="1980-04-10T00:00:00"/>
  </r>
  <r>
    <n v="1390"/>
    <s v="Brynn"/>
    <x v="40"/>
    <x v="1"/>
    <x v="46"/>
    <n v="10109"/>
    <n v="8"/>
    <d v="1992-12-02T00:00:00"/>
  </r>
  <r>
    <n v="1310"/>
    <s v="Alana"/>
    <x v="4"/>
    <x v="11"/>
    <x v="156"/>
    <n v="8413"/>
    <n v="20"/>
    <d v="1981-03-16T00:00:00"/>
  </r>
  <r>
    <n v="1188"/>
    <s v="Fabian"/>
    <x v="3"/>
    <x v="9"/>
    <x v="28"/>
    <n v="2000"/>
    <n v="3"/>
    <d v="1997-09-10T00:00:00"/>
  </r>
  <r>
    <n v="1023"/>
    <s v="Michael"/>
    <x v="80"/>
    <x v="1"/>
    <x v="66"/>
    <n v="4858"/>
    <n v="26"/>
    <d v="1975-04-27T00:00:00"/>
  </r>
  <r>
    <n v="1150"/>
    <s v="Dalton"/>
    <x v="9"/>
    <x v="4"/>
    <x v="175"/>
    <n v="2000"/>
    <n v="10"/>
    <d v="1991-05-13T00:00:00"/>
  </r>
  <r>
    <n v="1378"/>
    <s v="Beatrice"/>
    <x v="25"/>
    <x v="1"/>
    <x v="49"/>
    <n v="8664"/>
    <n v="12"/>
    <d v="1989-07-19T00:00:00"/>
  </r>
  <r>
    <n v="1147"/>
    <s v="Corbin"/>
    <x v="9"/>
    <x v="4"/>
    <x v="176"/>
    <n v="4539"/>
    <n v="10"/>
    <d v="1991-03-22T00:00:00"/>
  </r>
  <r>
    <n v="1066"/>
    <s v="Ryan"/>
    <x v="81"/>
    <x v="6"/>
    <x v="173"/>
    <n v="12126"/>
    <n v="21"/>
    <d v="1980-05-06T00:00:00"/>
  </r>
  <r>
    <n v="1452"/>
    <s v="Demi"/>
    <x v="17"/>
    <x v="0"/>
    <x v="55"/>
    <n v="9521"/>
    <n v="9"/>
    <d v="1991-12-23T00:00:00"/>
  </r>
  <r>
    <n v="1006"/>
    <s v="Joerg"/>
    <x v="82"/>
    <x v="10"/>
    <x v="105"/>
    <n v="2476"/>
    <n v="25"/>
    <d v="1975-11-15T00:00:00"/>
  </r>
  <r>
    <n v="1087"/>
    <s v="Chloe"/>
    <x v="83"/>
    <x v="10"/>
    <x v="84"/>
    <n v="16219"/>
    <n v="18"/>
    <d v="1983-02-12T00:00:00"/>
  </r>
  <r>
    <n v="1024"/>
    <s v="Olivia"/>
    <x v="84"/>
    <x v="1"/>
    <x v="129"/>
    <n v="5148"/>
    <n v="26"/>
    <d v="1975-07-07T00:00:00"/>
  </r>
  <r>
    <n v="1246"/>
    <s v="Kameron"/>
    <x v="6"/>
    <x v="5"/>
    <x v="22"/>
    <n v="2000"/>
    <n v="26"/>
    <d v="1975-02-23T00:00:00"/>
  </r>
  <r>
    <n v="1036"/>
    <s v="Gianna"/>
    <x v="85"/>
    <x v="0"/>
    <x v="64"/>
    <n v="8365"/>
    <n v="24"/>
    <d v="1977-05-07T00:00:00"/>
  </r>
  <r>
    <n v="1460"/>
    <s v="Dolly"/>
    <x v="17"/>
    <x v="4"/>
    <x v="107"/>
    <n v="8365"/>
    <n v="8"/>
    <d v="1992-11-30T00:00:00"/>
  </r>
  <r>
    <n v="1115"/>
    <s v="Beckett"/>
    <x v="1"/>
    <x v="1"/>
    <x v="177"/>
    <n v="6594"/>
    <n v="14"/>
    <d v="1986-10-14T00:00:00"/>
  </r>
  <r>
    <n v="1252"/>
    <s v="Kyle"/>
    <x v="6"/>
    <x v="6"/>
    <x v="91"/>
    <n v="2551"/>
    <n v="25"/>
    <d v="1976-02-13T00:00:00"/>
  </r>
  <r>
    <n v="1073"/>
    <s v="Nolan"/>
    <x v="86"/>
    <x v="10"/>
    <x v="68"/>
    <n v="13361"/>
    <n v="20"/>
    <d v="1981-05-29T00:00:00"/>
  </r>
  <r>
    <n v="1195"/>
    <s v="Francisco"/>
    <x v="3"/>
    <x v="3"/>
    <x v="162"/>
    <n v="2923"/>
    <n v="2"/>
    <d v="1998-11-23T00:00:00"/>
  </r>
  <r>
    <n v="1415"/>
    <s v="Celine"/>
    <x v="20"/>
    <x v="1"/>
    <x v="125"/>
    <n v="7107"/>
    <n v="5"/>
    <d v="1996-01-12T00:00:00"/>
  </r>
  <r>
    <n v="1151"/>
    <s v="Damian"/>
    <x v="9"/>
    <x v="4"/>
    <x v="178"/>
    <n v="1712"/>
    <n v="9"/>
    <d v="1991-09-08T00:00:00"/>
  </r>
  <r>
    <n v="1487"/>
    <s v="Elyse"/>
    <x v="5"/>
    <x v="8"/>
    <x v="114"/>
    <n v="8365"/>
    <n v="3"/>
    <d v="1997-09-11T00:00:00"/>
  </r>
  <r>
    <n v="1266"/>
    <s v="Maddox"/>
    <x v="8"/>
    <x v="6"/>
    <x v="105"/>
    <n v="8015"/>
    <n v="25"/>
    <d v="1975-11-15T00:00:00"/>
  </r>
  <r>
    <n v="1350"/>
    <s v="Antonella"/>
    <x v="13"/>
    <x v="2"/>
    <x v="153"/>
    <n v="7800"/>
    <n v="15"/>
    <d v="1985-12-24T00:00:00"/>
  </r>
  <r>
    <n v="1355"/>
    <s v="Ariadne"/>
    <x v="13"/>
    <x v="2"/>
    <x v="177"/>
    <n v="8555"/>
    <n v="14"/>
    <d v="1986-10-14T00:00:00"/>
  </r>
  <r>
    <n v="1057"/>
    <s v="Archie"/>
    <x v="87"/>
    <x v="8"/>
    <x v="179"/>
    <n v="10345"/>
    <n v="21"/>
    <d v="1979-12-07T00:00:00"/>
  </r>
  <r>
    <n v="1051"/>
    <s v="Leo"/>
    <x v="88"/>
    <x v="8"/>
    <x v="154"/>
    <n v="9581"/>
    <n v="23"/>
    <d v="1978-04-11T00:00:00"/>
  </r>
  <r>
    <n v="1461"/>
    <s v="Dominique"/>
    <x v="17"/>
    <x v="4"/>
    <x v="61"/>
    <n v="8413"/>
    <n v="8"/>
    <d v="1992-12-29T00:00:00"/>
  </r>
  <r>
    <n v="1455"/>
    <s v="Diana"/>
    <x v="17"/>
    <x v="4"/>
    <x v="126"/>
    <n v="10109"/>
    <n v="9"/>
    <d v="1992-01-18T00:00:00"/>
  </r>
  <r>
    <n v="1397"/>
    <s v="Cara"/>
    <x v="19"/>
    <x v="1"/>
    <x v="163"/>
    <n v="8365"/>
    <n v="8"/>
    <d v="1993-04-12T00:00:00"/>
  </r>
  <r>
    <n v="1158"/>
    <s v="Dawson"/>
    <x v="9"/>
    <x v="4"/>
    <x v="46"/>
    <n v="3001"/>
    <n v="8"/>
    <d v="1992-12-02T00:00:00"/>
  </r>
  <r>
    <n v="1400"/>
    <s v="Carly"/>
    <x v="20"/>
    <x v="1"/>
    <x v="72"/>
    <n v="8555"/>
    <n v="7"/>
    <d v="1993-12-24T00:00:00"/>
  </r>
  <r>
    <n v="1424"/>
    <s v="Clara"/>
    <x v="18"/>
    <x v="0"/>
    <x v="122"/>
    <n v="8696"/>
    <n v="3"/>
    <d v="1998-02-09T00:00:00"/>
  </r>
  <r>
    <n v="1056"/>
    <s v="Teddy"/>
    <x v="89"/>
    <x v="8"/>
    <x v="62"/>
    <n v="10273"/>
    <n v="22"/>
    <d v="1979-03-05T00:00:00"/>
  </r>
  <r>
    <n v="1035"/>
    <s v="Camila"/>
    <x v="90"/>
    <x v="0"/>
    <x v="8"/>
    <n v="8015"/>
    <n v="23"/>
    <d v="1977-10-02T00:00:00"/>
  </r>
  <r>
    <n v="1167"/>
    <s v="Dorian"/>
    <x v="21"/>
    <x v="9"/>
    <x v="47"/>
    <n v="4570"/>
    <n v="7"/>
    <d v="1993-12-16T00:00:00"/>
  </r>
  <r>
    <n v="1109"/>
    <s v="Andrew"/>
    <x v="24"/>
    <x v="1"/>
    <x v="15"/>
    <n v="10512"/>
    <n v="15"/>
    <d v="1985-10-21T00:00:00"/>
  </r>
  <r>
    <n v="1439"/>
    <s v="Dani"/>
    <x v="0"/>
    <x v="0"/>
    <x v="11"/>
    <n v="8365"/>
    <n v="11"/>
    <d v="1989-10-27T00:00:00"/>
  </r>
  <r>
    <n v="1215"/>
    <s v="Hugo"/>
    <x v="10"/>
    <x v="7"/>
    <x v="26"/>
    <n v="3001"/>
    <n v="11"/>
    <d v="1990-02-03T00:00:00"/>
  </r>
  <r>
    <n v="1282"/>
    <s v="Maximillian"/>
    <x v="4"/>
    <x v="8"/>
    <x v="146"/>
    <n v="9581"/>
    <n v="23"/>
    <d v="1977-12-20T00:00:00"/>
  </r>
  <r>
    <n v="1454"/>
    <s v="Destiny"/>
    <x v="17"/>
    <x v="4"/>
    <x v="56"/>
    <n v="9581"/>
    <n v="9"/>
    <d v="1992-01-15T00:00:00"/>
  </r>
  <r>
    <n v="1127"/>
    <s v="Brooks"/>
    <x v="11"/>
    <x v="1"/>
    <x v="41"/>
    <n v="8686"/>
    <n v="14"/>
    <d v="1987-06-23T00:00:00"/>
  </r>
  <r>
    <n v="1317"/>
    <s v="Alina"/>
    <x v="4"/>
    <x v="11"/>
    <x v="170"/>
    <n v="8814"/>
    <n v="19"/>
    <d v="1982-02-28T00:00:00"/>
  </r>
  <r>
    <n v="1099"/>
    <s v="Claire"/>
    <x v="22"/>
    <x v="1"/>
    <x v="147"/>
    <n v="19589"/>
    <n v="16"/>
    <d v="1985-05-01T00:00:00"/>
  </r>
  <r>
    <n v="1117"/>
    <s v="Blake"/>
    <x v="1"/>
    <x v="1"/>
    <x v="79"/>
    <n v="6829"/>
    <n v="14"/>
    <d v="1986-12-11T00:00:00"/>
  </r>
  <r>
    <n v="1004"/>
    <s v="Muhammed Ashraf"/>
    <x v="91"/>
    <x v="8"/>
    <x v="66"/>
    <n v="2319"/>
    <n v="26"/>
    <d v="1975-04-27T00:00:00"/>
  </r>
  <r>
    <n v="1321"/>
    <s v="Alma"/>
    <x v="4"/>
    <x v="11"/>
    <x v="160"/>
    <n v="9128"/>
    <n v="19"/>
    <d v="1982-01-05T00:00:00"/>
  </r>
  <r>
    <n v="1402"/>
    <s v="Carolina"/>
    <x v="20"/>
    <x v="1"/>
    <x v="19"/>
    <n v="8686"/>
    <n v="7"/>
    <d v="1994-03-07T00:00:00"/>
  </r>
  <r>
    <n v="1256"/>
    <s v="Lawrence"/>
    <x v="8"/>
    <x v="6"/>
    <x v="117"/>
    <n v="3668"/>
    <n v="24"/>
    <d v="1977-01-20T00:00:00"/>
  </r>
  <r>
    <n v="1185"/>
    <s v="Erik"/>
    <x v="3"/>
    <x v="9"/>
    <x v="113"/>
    <n v="4539"/>
    <n v="4"/>
    <d v="1997-05-24T00:00:00"/>
  </r>
  <r>
    <n v="1406"/>
    <s v="Cassandra"/>
    <x v="20"/>
    <x v="1"/>
    <x v="161"/>
    <n v="8967"/>
    <n v="6"/>
    <d v="1995-03-05T00:00:00"/>
  </r>
  <r>
    <n v="1409"/>
    <s v="Catalina"/>
    <x v="20"/>
    <x v="1"/>
    <x v="108"/>
    <n v="9128"/>
    <n v="5"/>
    <d v="1995-10-08T00:00:00"/>
  </r>
  <r>
    <n v="1419"/>
    <s v="Chaya"/>
    <x v="20"/>
    <x v="1"/>
    <x v="165"/>
    <n v="8413"/>
    <n v="4"/>
    <d v="1997-01-09T00:00:00"/>
  </r>
  <r>
    <n v="1448"/>
    <s v="Deborah"/>
    <x v="0"/>
    <x v="0"/>
    <x v="0"/>
    <n v="8967"/>
    <n v="11"/>
    <d v="1990-05-04T00:00:00"/>
  </r>
  <r>
    <n v="1098"/>
    <s v="Bella"/>
    <x v="22"/>
    <x v="1"/>
    <x v="121"/>
    <n v="19370"/>
    <n v="16"/>
    <d v="1984-11-20T00:00:00"/>
  </r>
  <r>
    <n v="1297"/>
    <s v="Sean"/>
    <x v="12"/>
    <x v="8"/>
    <x v="179"/>
    <n v="8967"/>
    <n v="21"/>
    <d v="1979-12-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E3638-BDEF-4CD8-8FEA-D8C72882FE9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C195" firstHeaderRow="1" firstDataRow="1" firstDataCol="1"/>
  <pivotFields count="10">
    <pivotField dataField="1" showAll="0"/>
    <pivotField showAll="0"/>
    <pivotField showAll="0"/>
    <pivotField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numFmtId="164" showAll="0"/>
    <pivotField numFmtId="1" showAll="0"/>
    <pivotField numFmtId="14" showAll="0"/>
    <pivotField axis="axisRow" showAll="0">
      <items count="15">
        <item x="0"/>
        <item x="1"/>
        <item x="2"/>
        <item x="3"/>
        <item x="4"/>
        <item x="5"/>
        <item x="6"/>
        <item x="7"/>
        <item x="8"/>
        <item x="9"/>
        <item x="10"/>
        <item x="11"/>
        <item x="12"/>
        <item x="13"/>
        <item t="default"/>
      </items>
    </pivotField>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2">
    <field x="9"/>
    <field x="8"/>
  </rowFields>
  <rowItems count="163">
    <i>
      <x v="1"/>
    </i>
    <i r="1">
      <x v="2"/>
    </i>
    <i r="1">
      <x v="4"/>
    </i>
    <i r="1">
      <x v="7"/>
    </i>
    <i r="1">
      <x v="10"/>
    </i>
    <i r="1">
      <x v="11"/>
    </i>
    <i>
      <x v="2"/>
    </i>
    <i r="1">
      <x v="2"/>
    </i>
    <i r="1">
      <x v="3"/>
    </i>
    <i r="1">
      <x v="4"/>
    </i>
    <i r="1">
      <x v="5"/>
    </i>
    <i r="1">
      <x v="9"/>
    </i>
    <i r="1">
      <x v="10"/>
    </i>
    <i r="1">
      <x v="12"/>
    </i>
    <i>
      <x v="3"/>
    </i>
    <i r="1">
      <x v="1"/>
    </i>
    <i r="1">
      <x v="5"/>
    </i>
    <i r="1">
      <x v="6"/>
    </i>
    <i r="1">
      <x v="7"/>
    </i>
    <i r="1">
      <x v="8"/>
    </i>
    <i r="1">
      <x v="10"/>
    </i>
    <i r="1">
      <x v="11"/>
    </i>
    <i r="1">
      <x v="12"/>
    </i>
    <i>
      <x v="4"/>
    </i>
    <i r="1">
      <x v="2"/>
    </i>
    <i r="1">
      <x v="3"/>
    </i>
    <i r="1">
      <x v="4"/>
    </i>
    <i r="1">
      <x v="6"/>
    </i>
    <i r="1">
      <x v="7"/>
    </i>
    <i r="1">
      <x v="9"/>
    </i>
    <i r="1">
      <x v="11"/>
    </i>
    <i>
      <x v="5"/>
    </i>
    <i r="1">
      <x v="1"/>
    </i>
    <i r="1">
      <x v="2"/>
    </i>
    <i r="1">
      <x v="3"/>
    </i>
    <i r="1">
      <x v="6"/>
    </i>
    <i r="1">
      <x v="9"/>
    </i>
    <i r="1">
      <x v="12"/>
    </i>
    <i>
      <x v="6"/>
    </i>
    <i r="1">
      <x v="1"/>
    </i>
    <i r="1">
      <x v="2"/>
    </i>
    <i r="1">
      <x v="4"/>
    </i>
    <i r="1">
      <x v="5"/>
    </i>
    <i r="1">
      <x v="6"/>
    </i>
    <i r="1">
      <x v="7"/>
    </i>
    <i r="1">
      <x v="8"/>
    </i>
    <i>
      <x v="7"/>
    </i>
    <i r="1">
      <x v="3"/>
    </i>
    <i r="1">
      <x v="5"/>
    </i>
    <i r="1">
      <x v="6"/>
    </i>
    <i r="1">
      <x v="9"/>
    </i>
    <i r="1">
      <x v="12"/>
    </i>
    <i>
      <x v="8"/>
    </i>
    <i r="1">
      <x v="1"/>
    </i>
    <i r="1">
      <x v="2"/>
    </i>
    <i r="1">
      <x v="3"/>
    </i>
    <i r="1">
      <x v="4"/>
    </i>
    <i r="1">
      <x v="5"/>
    </i>
    <i r="1">
      <x v="6"/>
    </i>
    <i>
      <x v="9"/>
    </i>
    <i r="1">
      <x v="1"/>
    </i>
    <i r="1">
      <x v="2"/>
    </i>
    <i r="1">
      <x v="6"/>
    </i>
    <i r="1">
      <x v="8"/>
    </i>
    <i>
      <x v="10"/>
    </i>
    <i r="1">
      <x v="2"/>
    </i>
    <i r="1">
      <x v="5"/>
    </i>
    <i r="1">
      <x v="6"/>
    </i>
    <i r="1">
      <x v="7"/>
    </i>
    <i r="1">
      <x v="8"/>
    </i>
    <i r="1">
      <x v="10"/>
    </i>
    <i r="1">
      <x v="11"/>
    </i>
    <i>
      <x v="11"/>
    </i>
    <i r="1">
      <x v="1"/>
    </i>
    <i r="1">
      <x v="3"/>
    </i>
    <i r="1">
      <x v="4"/>
    </i>
    <i r="1">
      <x v="5"/>
    </i>
    <i r="1">
      <x v="8"/>
    </i>
    <i r="1">
      <x v="9"/>
    </i>
    <i r="1">
      <x v="10"/>
    </i>
    <i r="1">
      <x v="11"/>
    </i>
    <i r="1">
      <x v="12"/>
    </i>
    <i>
      <x v="12"/>
    </i>
    <i r="1">
      <x v="1"/>
    </i>
    <i r="1">
      <x v="2"/>
    </i>
    <i r="1">
      <x v="10"/>
    </i>
    <i r="1">
      <x v="11"/>
    </i>
    <i r="1">
      <x v="12"/>
    </i>
    <i>
      <x v="13"/>
    </i>
    <i r="1">
      <x v="3"/>
    </i>
    <i r="1">
      <x v="4"/>
    </i>
    <i r="1">
      <x v="6"/>
    </i>
    <i r="1">
      <x v="9"/>
    </i>
    <i r="1">
      <x v="12"/>
    </i>
    <i>
      <x v="14"/>
    </i>
    <i r="1">
      <x v="1"/>
    </i>
    <i r="1">
      <x v="2"/>
    </i>
    <i r="1">
      <x v="5"/>
    </i>
    <i r="1">
      <x v="10"/>
    </i>
    <i r="1">
      <x v="12"/>
    </i>
    <i>
      <x v="15"/>
    </i>
    <i r="1">
      <x v="2"/>
    </i>
    <i r="1">
      <x v="7"/>
    </i>
    <i r="1">
      <x v="10"/>
    </i>
    <i r="1">
      <x v="11"/>
    </i>
    <i>
      <x v="16"/>
    </i>
    <i r="1">
      <x v="2"/>
    </i>
    <i r="1">
      <x v="5"/>
    </i>
    <i r="1">
      <x v="6"/>
    </i>
    <i r="1">
      <x v="8"/>
    </i>
    <i>
      <x v="17"/>
    </i>
    <i r="1">
      <x v="1"/>
    </i>
    <i r="1">
      <x v="3"/>
    </i>
    <i r="1">
      <x v="4"/>
    </i>
    <i r="1">
      <x v="5"/>
    </i>
    <i r="1">
      <x v="7"/>
    </i>
    <i r="1">
      <x v="9"/>
    </i>
    <i r="1">
      <x v="12"/>
    </i>
    <i>
      <x v="18"/>
    </i>
    <i r="1">
      <x v="1"/>
    </i>
    <i r="1">
      <x v="5"/>
    </i>
    <i r="1">
      <x v="7"/>
    </i>
    <i r="1">
      <x v="9"/>
    </i>
    <i r="1">
      <x v="11"/>
    </i>
    <i r="1">
      <x v="12"/>
    </i>
    <i>
      <x v="19"/>
    </i>
    <i r="1">
      <x v="4"/>
    </i>
    <i r="1">
      <x v="8"/>
    </i>
    <i r="1">
      <x v="10"/>
    </i>
    <i r="1">
      <x v="12"/>
    </i>
    <i>
      <x v="20"/>
    </i>
    <i r="1">
      <x v="3"/>
    </i>
    <i r="1">
      <x v="8"/>
    </i>
    <i>
      <x v="21"/>
    </i>
    <i r="1">
      <x v="2"/>
    </i>
    <i r="1">
      <x v="3"/>
    </i>
    <i r="1">
      <x v="7"/>
    </i>
    <i r="1">
      <x v="8"/>
    </i>
    <i r="1">
      <x v="9"/>
    </i>
    <i r="1">
      <x v="10"/>
    </i>
    <i r="1">
      <x v="12"/>
    </i>
    <i>
      <x v="22"/>
    </i>
    <i r="1">
      <x v="1"/>
    </i>
    <i r="1">
      <x v="4"/>
    </i>
    <i r="1">
      <x v="10"/>
    </i>
    <i>
      <x v="23"/>
    </i>
    <i r="1">
      <x v="1"/>
    </i>
    <i r="1">
      <x v="2"/>
    </i>
    <i r="1">
      <x v="5"/>
    </i>
    <i r="1">
      <x v="6"/>
    </i>
    <i r="1">
      <x v="9"/>
    </i>
    <i>
      <x v="24"/>
    </i>
    <i r="1">
      <x v="1"/>
    </i>
    <i r="1">
      <x v="2"/>
    </i>
    <i r="1">
      <x v="3"/>
    </i>
    <i r="1">
      <x v="9"/>
    </i>
    <i r="1">
      <x v="10"/>
    </i>
    <i r="1">
      <x v="11"/>
    </i>
    <i r="1">
      <x v="12"/>
    </i>
    <i>
      <x v="25"/>
    </i>
    <i r="1">
      <x v="1"/>
    </i>
    <i r="1">
      <x v="5"/>
    </i>
    <i t="grand">
      <x/>
    </i>
  </rowItems>
  <colItems count="1">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4523E-7548-4C29-9A18-257D7B7639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96" firstHeaderRow="1" firstDataRow="1" firstDataCol="1"/>
  <pivotFields count="10">
    <pivotField showAll="0"/>
    <pivotField showAll="0"/>
    <pivotField axis="axisRow" showAll="0">
      <items count="93">
        <item x="50"/>
        <item x="30"/>
        <item x="0"/>
        <item x="7"/>
        <item x="6"/>
        <item x="14"/>
        <item x="91"/>
        <item x="26"/>
        <item x="75"/>
        <item x="48"/>
        <item x="85"/>
        <item x="15"/>
        <item x="38"/>
        <item x="62"/>
        <item x="89"/>
        <item x="83"/>
        <item x="76"/>
        <item x="84"/>
        <item x="31"/>
        <item x="27"/>
        <item x="63"/>
        <item x="77"/>
        <item x="60"/>
        <item x="25"/>
        <item x="57"/>
        <item x="86"/>
        <item x="43"/>
        <item x="73"/>
        <item x="34"/>
        <item x="12"/>
        <item x="22"/>
        <item x="21"/>
        <item x="66"/>
        <item x="59"/>
        <item x="78"/>
        <item x="1"/>
        <item x="41"/>
        <item x="37"/>
        <item x="44"/>
        <item x="90"/>
        <item x="47"/>
        <item x="35"/>
        <item x="51"/>
        <item x="32"/>
        <item x="20"/>
        <item x="19"/>
        <item x="74"/>
        <item x="18"/>
        <item x="69"/>
        <item x="16"/>
        <item x="64"/>
        <item x="88"/>
        <item x="5"/>
        <item x="8"/>
        <item x="55"/>
        <item x="36"/>
        <item x="3"/>
        <item x="61"/>
        <item x="68"/>
        <item x="39"/>
        <item x="23"/>
        <item x="52"/>
        <item x="33"/>
        <item x="79"/>
        <item x="9"/>
        <item x="54"/>
        <item x="82"/>
        <item x="45"/>
        <item x="28"/>
        <item x="71"/>
        <item x="49"/>
        <item x="53"/>
        <item x="67"/>
        <item x="46"/>
        <item x="24"/>
        <item x="56"/>
        <item x="11"/>
        <item x="10"/>
        <item x="4"/>
        <item x="13"/>
        <item x="81"/>
        <item x="42"/>
        <item x="17"/>
        <item x="70"/>
        <item x="87"/>
        <item x="29"/>
        <item x="80"/>
        <item x="40"/>
        <item x="58"/>
        <item x="65"/>
        <item x="2"/>
        <item x="72"/>
        <item t="default"/>
      </items>
    </pivotField>
    <pivotField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numFmtId="164" showAll="0"/>
    <pivotField dataField="1" numFmtId="1" showAll="0"/>
    <pivotField numFmtId="14" showAll="0"/>
    <pivotField showAll="0">
      <items count="15">
        <item x="0"/>
        <item x="1"/>
        <item x="2"/>
        <item x="3"/>
        <item x="4"/>
        <item x="5"/>
        <item x="6"/>
        <item x="7"/>
        <item x="8"/>
        <item x="9"/>
        <item x="10"/>
        <item x="11"/>
        <item x="12"/>
        <item x="1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2"/>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Average of Total Years Of Work" fld="6" subtotal="average" baseField="2" baseItem="0" numFmtId="1"/>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91CE3-E766-4ED1-8C46-5F8E827819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6" firstHeaderRow="1" firstDataRow="1" firstDataCol="1"/>
  <pivotFields count="10">
    <pivotField showAll="0"/>
    <pivotField showAll="0"/>
    <pivotField showAll="0"/>
    <pivotField axis="axisRow"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dataField="1" numFmtId="164" showAll="0"/>
    <pivotField numFmtId="1" showAll="0"/>
    <pivotField numFmtId="14" showAll="0"/>
    <pivotField showAll="0">
      <items count="15">
        <item x="0"/>
        <item x="1"/>
        <item x="2"/>
        <item x="3"/>
        <item x="4"/>
        <item x="5"/>
        <item x="6"/>
        <item x="7"/>
        <item x="8"/>
        <item x="9"/>
        <item x="10"/>
        <item x="11"/>
        <item x="12"/>
        <item x="1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Average of Salary" fld="5" subtotal="average" baseField="3" baseItem="0" numFmtId="164"/>
  </dataFields>
  <chartFormats count="14">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0"/>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3"/>
          </reference>
        </references>
      </pivotArea>
    </chartFormat>
    <chartFormat chart="3" format="19">
      <pivotArea type="data" outline="0" fieldPosition="0">
        <references count="2">
          <reference field="4294967294" count="1" selected="0">
            <x v="0"/>
          </reference>
          <reference field="3" count="1" selected="0">
            <x v="4"/>
          </reference>
        </references>
      </pivotArea>
    </chartFormat>
    <chartFormat chart="3" format="20">
      <pivotArea type="data" outline="0" fieldPosition="0">
        <references count="2">
          <reference field="4294967294" count="1" selected="0">
            <x v="0"/>
          </reference>
          <reference field="3" count="1" selected="0">
            <x v="5"/>
          </reference>
        </references>
      </pivotArea>
    </chartFormat>
    <chartFormat chart="3" format="21">
      <pivotArea type="data" outline="0" fieldPosition="0">
        <references count="2">
          <reference field="4294967294" count="1" selected="0">
            <x v="0"/>
          </reference>
          <reference field="3" count="1" selected="0">
            <x v="6"/>
          </reference>
        </references>
      </pivotArea>
    </chartFormat>
    <chartFormat chart="3" format="22">
      <pivotArea type="data" outline="0" fieldPosition="0">
        <references count="2">
          <reference field="4294967294" count="1" selected="0">
            <x v="0"/>
          </reference>
          <reference field="3" count="1" selected="0">
            <x v="7"/>
          </reference>
        </references>
      </pivotArea>
    </chartFormat>
    <chartFormat chart="3" format="23">
      <pivotArea type="data" outline="0" fieldPosition="0">
        <references count="2">
          <reference field="4294967294" count="1" selected="0">
            <x v="0"/>
          </reference>
          <reference field="3" count="1" selected="0">
            <x v="8"/>
          </reference>
        </references>
      </pivotArea>
    </chartFormat>
    <chartFormat chart="3" format="24">
      <pivotArea type="data" outline="0" fieldPosition="0">
        <references count="2">
          <reference field="4294967294" count="1" selected="0">
            <x v="0"/>
          </reference>
          <reference field="3" count="1" selected="0">
            <x v="9"/>
          </reference>
        </references>
      </pivotArea>
    </chartFormat>
    <chartFormat chart="3" format="25">
      <pivotArea type="data" outline="0" fieldPosition="0">
        <references count="2">
          <reference field="4294967294" count="1" selected="0">
            <x v="0"/>
          </reference>
          <reference field="3" count="1" selected="0">
            <x v="10"/>
          </reference>
        </references>
      </pivotArea>
    </chartFormat>
    <chartFormat chart="3" format="26">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B7FFC-F9AC-454A-910A-72480D2988E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19:C30" firstHeaderRow="1" firstDataRow="1" firstDataCol="1"/>
  <pivotFields count="10">
    <pivotField showAll="0"/>
    <pivotField showAll="0"/>
    <pivotField axis="axisRow" showAll="0" measureFilter="1">
      <items count="93">
        <item x="50"/>
        <item x="30"/>
        <item x="0"/>
        <item x="7"/>
        <item x="6"/>
        <item x="14"/>
        <item x="91"/>
        <item x="26"/>
        <item x="75"/>
        <item x="48"/>
        <item x="85"/>
        <item x="15"/>
        <item x="38"/>
        <item x="62"/>
        <item x="89"/>
        <item x="83"/>
        <item x="76"/>
        <item x="84"/>
        <item x="31"/>
        <item x="27"/>
        <item x="63"/>
        <item x="77"/>
        <item x="60"/>
        <item x="25"/>
        <item x="57"/>
        <item x="86"/>
        <item x="43"/>
        <item x="73"/>
        <item x="34"/>
        <item x="12"/>
        <item x="22"/>
        <item x="21"/>
        <item x="66"/>
        <item x="59"/>
        <item x="78"/>
        <item x="1"/>
        <item x="41"/>
        <item x="37"/>
        <item x="44"/>
        <item x="90"/>
        <item x="47"/>
        <item x="35"/>
        <item x="51"/>
        <item x="32"/>
        <item x="20"/>
        <item x="19"/>
        <item x="74"/>
        <item x="18"/>
        <item x="69"/>
        <item x="16"/>
        <item x="64"/>
        <item x="88"/>
        <item x="5"/>
        <item x="8"/>
        <item x="55"/>
        <item x="36"/>
        <item x="3"/>
        <item x="61"/>
        <item x="68"/>
        <item x="39"/>
        <item x="23"/>
        <item x="52"/>
        <item x="33"/>
        <item x="79"/>
        <item x="9"/>
        <item x="54"/>
        <item x="82"/>
        <item x="45"/>
        <item x="28"/>
        <item x="71"/>
        <item x="49"/>
        <item x="53"/>
        <item x="67"/>
        <item x="46"/>
        <item x="24"/>
        <item x="56"/>
        <item x="11"/>
        <item x="10"/>
        <item x="4"/>
        <item x="13"/>
        <item x="81"/>
        <item x="42"/>
        <item x="17"/>
        <item x="70"/>
        <item x="87"/>
        <item x="29"/>
        <item x="80"/>
        <item x="40"/>
        <item x="58"/>
        <item x="65"/>
        <item x="2"/>
        <item x="72"/>
        <item t="default"/>
      </items>
    </pivotField>
    <pivotField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dataField="1" numFmtId="164" showAll="0"/>
    <pivotField numFmtId="1" showAll="0"/>
    <pivotField numFmtId="14" showAll="0"/>
    <pivotField showAll="0">
      <items count="15">
        <item x="0"/>
        <item x="1"/>
        <item x="2"/>
        <item x="3"/>
        <item x="4"/>
        <item x="5"/>
        <item x="6"/>
        <item x="7"/>
        <item x="8"/>
        <item x="9"/>
        <item x="10"/>
        <item x="11"/>
        <item x="12"/>
        <item x="1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2"/>
  </rowFields>
  <rowItems count="11">
    <i>
      <x v="9"/>
    </i>
    <i>
      <x v="13"/>
    </i>
    <i>
      <x v="15"/>
    </i>
    <i>
      <x v="18"/>
    </i>
    <i>
      <x v="19"/>
    </i>
    <i>
      <x v="37"/>
    </i>
    <i>
      <x v="58"/>
    </i>
    <i>
      <x v="72"/>
    </i>
    <i>
      <x v="73"/>
    </i>
    <i>
      <x v="75"/>
    </i>
    <i t="grand">
      <x/>
    </i>
  </rowItems>
  <colItems count="1">
    <i/>
  </colItems>
  <dataFields count="1">
    <dataField name="Average of Salary" fld="5"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35FF2-2A9A-4376-BE92-C767A5418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E3:F14" firstHeaderRow="1" firstDataRow="1" firstDataCol="1"/>
  <pivotFields count="10">
    <pivotField dataField="1" showAll="0"/>
    <pivotField showAll="0"/>
    <pivotField axis="axisRow" showAll="0" measureFilter="1">
      <items count="93">
        <item x="50"/>
        <item x="30"/>
        <item x="0"/>
        <item x="7"/>
        <item x="6"/>
        <item x="14"/>
        <item x="91"/>
        <item x="26"/>
        <item x="75"/>
        <item x="48"/>
        <item x="85"/>
        <item x="15"/>
        <item x="38"/>
        <item x="62"/>
        <item x="89"/>
        <item x="83"/>
        <item x="76"/>
        <item x="84"/>
        <item x="31"/>
        <item x="27"/>
        <item x="63"/>
        <item x="77"/>
        <item x="60"/>
        <item x="25"/>
        <item x="57"/>
        <item x="86"/>
        <item x="43"/>
        <item x="73"/>
        <item x="34"/>
        <item x="12"/>
        <item x="22"/>
        <item x="21"/>
        <item x="66"/>
        <item x="59"/>
        <item x="78"/>
        <item x="1"/>
        <item x="41"/>
        <item x="37"/>
        <item x="44"/>
        <item x="90"/>
        <item x="47"/>
        <item x="35"/>
        <item x="51"/>
        <item x="32"/>
        <item x="20"/>
        <item x="19"/>
        <item x="74"/>
        <item x="18"/>
        <item x="69"/>
        <item x="16"/>
        <item x="64"/>
        <item x="88"/>
        <item x="5"/>
        <item x="8"/>
        <item x="55"/>
        <item x="36"/>
        <item x="3"/>
        <item x="61"/>
        <item x="68"/>
        <item x="39"/>
        <item x="23"/>
        <item x="52"/>
        <item x="33"/>
        <item x="79"/>
        <item x="9"/>
        <item x="54"/>
        <item x="82"/>
        <item x="45"/>
        <item x="28"/>
        <item x="71"/>
        <item x="49"/>
        <item x="53"/>
        <item x="67"/>
        <item x="46"/>
        <item x="24"/>
        <item x="56"/>
        <item x="11"/>
        <item x="10"/>
        <item x="4"/>
        <item x="13"/>
        <item x="81"/>
        <item x="42"/>
        <item x="17"/>
        <item x="70"/>
        <item x="87"/>
        <item x="29"/>
        <item x="80"/>
        <item x="40"/>
        <item x="58"/>
        <item x="65"/>
        <item x="2"/>
        <item x="72"/>
        <item t="default"/>
      </items>
    </pivotField>
    <pivotField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numFmtId="164" showAll="0"/>
    <pivotField numFmtId="1" showAll="0"/>
    <pivotField numFmtId="14" showAll="0"/>
    <pivotField showAll="0">
      <items count="15">
        <item x="0"/>
        <item x="1"/>
        <item x="2"/>
        <item x="3"/>
        <item x="4"/>
        <item x="5"/>
        <item x="6"/>
        <item x="7"/>
        <item x="8"/>
        <item x="9"/>
        <item x="10"/>
        <item x="11"/>
        <item x="12"/>
        <item x="1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2"/>
  </rowFields>
  <rowItems count="11">
    <i>
      <x v="4"/>
    </i>
    <i>
      <x v="23"/>
    </i>
    <i>
      <x v="29"/>
    </i>
    <i>
      <x v="31"/>
    </i>
    <i>
      <x v="44"/>
    </i>
    <i>
      <x v="53"/>
    </i>
    <i>
      <x v="64"/>
    </i>
    <i>
      <x v="77"/>
    </i>
    <i>
      <x v="78"/>
    </i>
    <i>
      <x v="79"/>
    </i>
    <i t="grand">
      <x/>
    </i>
  </rowItems>
  <colItems count="1">
    <i/>
  </colItems>
  <dataFields count="1">
    <dataField name="Count of Employee Id" fld="0" subtotal="count" baseField="2" baseItem="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DF9232-E172-4947-BA3E-005FD9B3A0C0}" name="PT_Employees_Nationa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C16" firstHeaderRow="1" firstDataRow="1" firstDataCol="1"/>
  <pivotFields count="10">
    <pivotField dataField="1" showAll="0"/>
    <pivotField showAll="0"/>
    <pivotField showAll="0"/>
    <pivotField axis="axisRow" showAll="0">
      <items count="13">
        <item x="7"/>
        <item x="3"/>
        <item x="10"/>
        <item x="8"/>
        <item x="5"/>
        <item x="11"/>
        <item x="1"/>
        <item x="9"/>
        <item x="2"/>
        <item x="0"/>
        <item x="4"/>
        <item x="6"/>
        <item t="default"/>
      </items>
    </pivotField>
    <pivotField showAll="0">
      <items count="181">
        <item x="22"/>
        <item x="106"/>
        <item x="66"/>
        <item x="129"/>
        <item x="63"/>
        <item x="23"/>
        <item x="105"/>
        <item x="91"/>
        <item x="54"/>
        <item x="34"/>
        <item x="58"/>
        <item x="21"/>
        <item x="24"/>
        <item x="95"/>
        <item x="117"/>
        <item x="64"/>
        <item x="167"/>
        <item x="16"/>
        <item x="6"/>
        <item x="8"/>
        <item x="138"/>
        <item x="146"/>
        <item x="172"/>
        <item x="136"/>
        <item x="154"/>
        <item x="140"/>
        <item x="89"/>
        <item x="141"/>
        <item x="48"/>
        <item x="74"/>
        <item x="80"/>
        <item x="25"/>
        <item x="104"/>
        <item x="13"/>
        <item x="44"/>
        <item x="88"/>
        <item x="65"/>
        <item x="62"/>
        <item x="40"/>
        <item x="39"/>
        <item x="103"/>
        <item x="179"/>
        <item x="130"/>
        <item x="120"/>
        <item x="159"/>
        <item x="75"/>
        <item x="173"/>
        <item x="78"/>
        <item x="20"/>
        <item x="168"/>
        <item x="156"/>
        <item x="137"/>
        <item x="68"/>
        <item x="57"/>
        <item x="94"/>
        <item x="81"/>
        <item x="160"/>
        <item x="170"/>
        <item x="52"/>
        <item x="155"/>
        <item x="134"/>
        <item x="35"/>
        <item x="96"/>
        <item x="144"/>
        <item x="99"/>
        <item x="84"/>
        <item x="59"/>
        <item x="69"/>
        <item x="158"/>
        <item x="36"/>
        <item x="100"/>
        <item x="67"/>
        <item x="145"/>
        <item x="4"/>
        <item x="82"/>
        <item x="18"/>
        <item x="42"/>
        <item x="90"/>
        <item x="121"/>
        <item x="152"/>
        <item x="70"/>
        <item x="43"/>
        <item x="116"/>
        <item x="147"/>
        <item x="98"/>
        <item x="76"/>
        <item x="32"/>
        <item x="174"/>
        <item x="15"/>
        <item x="37"/>
        <item x="153"/>
        <item x="83"/>
        <item x="135"/>
        <item x="157"/>
        <item x="177"/>
        <item x="127"/>
        <item x="118"/>
        <item x="38"/>
        <item x="171"/>
        <item x="79"/>
        <item x="9"/>
        <item x="1"/>
        <item x="132"/>
        <item x="2"/>
        <item x="112"/>
        <item x="123"/>
        <item x="41"/>
        <item x="151"/>
        <item x="86"/>
        <item x="139"/>
        <item x="12"/>
        <item x="29"/>
        <item x="17"/>
        <item x="166"/>
        <item x="124"/>
        <item x="45"/>
        <item x="110"/>
        <item x="49"/>
        <item x="11"/>
        <item x="87"/>
        <item x="26"/>
        <item x="77"/>
        <item x="0"/>
        <item x="27"/>
        <item x="115"/>
        <item x="51"/>
        <item x="119"/>
        <item x="176"/>
        <item x="148"/>
        <item x="10"/>
        <item x="175"/>
        <item x="133"/>
        <item x="178"/>
        <item x="150"/>
        <item x="55"/>
        <item x="56"/>
        <item x="126"/>
        <item x="85"/>
        <item x="111"/>
        <item x="164"/>
        <item x="30"/>
        <item x="107"/>
        <item x="46"/>
        <item x="61"/>
        <item x="163"/>
        <item x="102"/>
        <item x="149"/>
        <item x="47"/>
        <item x="72"/>
        <item x="19"/>
        <item x="60"/>
        <item x="7"/>
        <item x="73"/>
        <item x="53"/>
        <item x="161"/>
        <item x="128"/>
        <item x="50"/>
        <item x="33"/>
        <item x="108"/>
        <item x="101"/>
        <item x="125"/>
        <item x="169"/>
        <item x="5"/>
        <item x="31"/>
        <item x="165"/>
        <item x="93"/>
        <item x="113"/>
        <item x="71"/>
        <item x="28"/>
        <item x="114"/>
        <item x="3"/>
        <item x="122"/>
        <item x="97"/>
        <item x="92"/>
        <item x="142"/>
        <item x="162"/>
        <item x="109"/>
        <item x="143"/>
        <item x="14"/>
        <item x="131"/>
        <item t="default"/>
      </items>
    </pivotField>
    <pivotField numFmtId="164" showAll="0"/>
    <pivotField numFmtId="1" showAll="0"/>
    <pivotField numFmtId="14" showAll="0"/>
    <pivotField showAll="0">
      <items count="15">
        <item x="0"/>
        <item x="1"/>
        <item x="2"/>
        <item x="3"/>
        <item x="4"/>
        <item x="5"/>
        <item x="6"/>
        <item x="7"/>
        <item x="8"/>
        <item x="9"/>
        <item x="10"/>
        <item x="11"/>
        <item x="12"/>
        <item x="13"/>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Count of Employee Id"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0D1A0A56-4DDB-42FA-AC9B-4EB381666E4C}" sourceName="Position">
  <pivotTables>
    <pivotTable tabId="4" name="PivotTable5"/>
  </pivotTables>
  <data>
    <tabular pivotCacheId="632957472">
      <items count="92">
        <i x="50" s="1"/>
        <i x="30" s="1"/>
        <i x="0" s="1"/>
        <i x="7" s="1"/>
        <i x="6" s="1"/>
        <i x="14" s="1"/>
        <i x="91" s="1"/>
        <i x="26" s="1"/>
        <i x="75" s="1"/>
        <i x="48" s="1"/>
        <i x="85" s="1"/>
        <i x="15" s="1"/>
        <i x="38" s="1"/>
        <i x="62" s="1"/>
        <i x="89" s="1"/>
        <i x="83" s="1"/>
        <i x="76" s="1"/>
        <i x="84" s="1"/>
        <i x="31" s="1"/>
        <i x="27" s="1"/>
        <i x="63" s="1"/>
        <i x="77" s="1"/>
        <i x="60" s="1"/>
        <i x="25" s="1"/>
        <i x="57" s="1"/>
        <i x="86" s="1"/>
        <i x="43" s="1"/>
        <i x="73" s="1"/>
        <i x="34" s="1"/>
        <i x="12" s="1"/>
        <i x="22" s="1"/>
        <i x="21" s="1"/>
        <i x="66" s="1"/>
        <i x="59" s="1"/>
        <i x="78" s="1"/>
        <i x="1" s="1"/>
        <i x="41" s="1"/>
        <i x="37" s="1"/>
        <i x="44" s="1"/>
        <i x="90" s="1"/>
        <i x="47" s="1"/>
        <i x="35" s="1"/>
        <i x="51" s="1"/>
        <i x="32" s="1"/>
        <i x="20" s="1"/>
        <i x="19" s="1"/>
        <i x="74" s="1"/>
        <i x="18" s="1"/>
        <i x="69" s="1"/>
        <i x="16" s="1"/>
        <i x="64" s="1"/>
        <i x="88" s="1"/>
        <i x="5" s="1"/>
        <i x="8" s="1"/>
        <i x="55" s="1"/>
        <i x="36" s="1"/>
        <i x="3" s="1"/>
        <i x="61" s="1"/>
        <i x="68" s="1"/>
        <i x="39" s="1"/>
        <i x="23" s="1"/>
        <i x="52" s="1"/>
        <i x="33" s="1"/>
        <i x="79" s="1"/>
        <i x="9" s="1"/>
        <i x="54" s="1"/>
        <i x="82" s="1"/>
        <i x="45" s="1"/>
        <i x="28" s="1"/>
        <i x="71" s="1"/>
        <i x="49" s="1"/>
        <i x="53" s="1"/>
        <i x="67" s="1"/>
        <i x="46" s="1"/>
        <i x="24" s="1"/>
        <i x="56" s="1"/>
        <i x="11" s="1"/>
        <i x="10" s="1"/>
        <i x="4" s="1"/>
        <i x="13" s="1"/>
        <i x="81" s="1"/>
        <i x="42" s="1"/>
        <i x="17" s="1"/>
        <i x="70" s="1"/>
        <i x="87" s="1"/>
        <i x="29" s="1"/>
        <i x="80" s="1"/>
        <i x="40" s="1"/>
        <i x="58" s="1"/>
        <i x="65" s="1"/>
        <i x="2" s="1"/>
        <i x="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553F011A-02DE-4BA0-B446-D7D8AE7A44D9}" sourceName="Nationality">
  <pivotTables>
    <pivotTable tabId="4" name="PivotTable5"/>
    <pivotTable tabId="4" name="PivotTable11"/>
    <pivotTable tabId="4" name="PivotTable4"/>
    <pivotTable tabId="4" name="PivotTable6"/>
    <pivotTable tabId="4" name="PivotTable7"/>
    <pivotTable tabId="4" name="PT_Employees_Nationality"/>
  </pivotTables>
  <data>
    <tabular pivotCacheId="632957472">
      <items count="12">
        <i x="7" s="1"/>
        <i x="3" s="1"/>
        <i x="10" s="1"/>
        <i x="8" s="1"/>
        <i x="5" s="1"/>
        <i x="11" s="1"/>
        <i x="1" s="1"/>
        <i x="9" s="1"/>
        <i x="2" s="1"/>
        <i x="0"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9CD2E019-33C2-4FA6-AE78-B7CFBC509E51}" cache="Slicer_Position" caption="Position" startItem="5" rowHeight="249238"/>
  <slicer name="Nationality" xr10:uid="{EA221804-BDA5-4748-B546-A754A6BF97B7}" cache="Slicer_Nationality" caption="Nationality" startItem="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EE18F-48A7-41EB-BE9D-4D8B0CEAE88D}" name="EmployeeData" displayName="EmployeeData" ref="A1:H488" totalsRowShown="0" headerRowDxfId="9" dataDxfId="8">
  <autoFilter ref="A1:H488" xr:uid="{78CEE18F-48A7-41EB-BE9D-4D8B0CEAE88D}"/>
  <tableColumns count="8">
    <tableColumn id="1" xr3:uid="{6DA821AE-FF3D-4721-B04F-61F035BFEA50}" name="Employee Id" dataDxfId="7"/>
    <tableColumn id="2" xr3:uid="{604B5D3E-7CBF-46E2-A769-8679CA4A590E}" name="Employee Name" dataDxfId="6"/>
    <tableColumn id="3" xr3:uid="{A34CD333-66AC-4CD2-A02C-1248B813CF9E}" name="Position" dataDxfId="5"/>
    <tableColumn id="4" xr3:uid="{9D5A360A-BC9C-49DA-B02B-3C9A24DD043A}" name="Nationality" dataDxfId="4"/>
    <tableColumn id="5" xr3:uid="{8B7362F6-2589-4158-9AAA-CC760868A3CD}" name="Date of Joining" dataDxfId="3"/>
    <tableColumn id="6" xr3:uid="{194BED4C-DB63-482B-870E-D9119737075A}" name="Salary" dataDxfId="2"/>
    <tableColumn id="7" xr3:uid="{023C813A-0F9E-47EF-9610-7F04180DA8A8}" name="Total Years Of Work" dataDxfId="1">
      <calculatedColumnFormula>DATEDIF(E2, TODAY(), "Y")</calculatedColumnFormula>
    </tableColumn>
    <tableColumn id="8" xr3:uid="{E2763E91-870C-47FF-BDE4-955D1E73313A}" name="Employee D.O.B" dataDxfId="0">
      <calculatedColumnFormula>EDATE(E2, -12*25)</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8A4D-096D-496C-8EFB-2A34A46D639B}">
  <dimension ref="A1:L488"/>
  <sheetViews>
    <sheetView zoomScale="85" zoomScaleNormal="85" workbookViewId="0">
      <pane ySplit="1" topLeftCell="A2" activePane="bottomLeft" state="frozen"/>
      <selection pane="bottomLeft" activeCell="F9" sqref="F9"/>
    </sheetView>
  </sheetViews>
  <sheetFormatPr defaultRowHeight="14.25" x14ac:dyDescent="0.45"/>
  <cols>
    <col min="1" max="1" width="15.46484375" customWidth="1"/>
    <col min="2" max="2" width="19.59765625" customWidth="1"/>
    <col min="3" max="3" width="38.06640625" bestFit="1" customWidth="1"/>
    <col min="4" max="4" width="15" bestFit="1" customWidth="1"/>
    <col min="5" max="5" width="19.06640625" style="16" bestFit="1" customWidth="1"/>
    <col min="6" max="6" width="9.265625" customWidth="1"/>
    <col min="7" max="7" width="24.3984375" bestFit="1" customWidth="1"/>
    <col min="8" max="8" width="20.53125" bestFit="1" customWidth="1"/>
  </cols>
  <sheetData>
    <row r="1" spans="1:12" ht="31.5" customHeight="1" x14ac:dyDescent="0.45">
      <c r="A1" s="8" t="s">
        <v>0</v>
      </c>
      <c r="B1" s="8" t="s">
        <v>1</v>
      </c>
      <c r="C1" s="8" t="s">
        <v>2</v>
      </c>
      <c r="D1" s="8" t="s">
        <v>3</v>
      </c>
      <c r="E1" s="14" t="s">
        <v>588</v>
      </c>
      <c r="F1" s="8" t="s">
        <v>589</v>
      </c>
      <c r="G1" s="8" t="s">
        <v>597</v>
      </c>
      <c r="H1" s="8" t="s">
        <v>598</v>
      </c>
    </row>
    <row r="2" spans="1:12" x14ac:dyDescent="0.45">
      <c r="A2" s="2">
        <v>1442</v>
      </c>
      <c r="B2" s="5" t="s">
        <v>445</v>
      </c>
      <c r="C2" s="5" t="s">
        <v>516</v>
      </c>
      <c r="D2" s="5" t="s">
        <v>586</v>
      </c>
      <c r="E2" s="15">
        <v>42128</v>
      </c>
      <c r="F2" s="4">
        <v>8555</v>
      </c>
      <c r="G2" s="1">
        <f t="shared" ref="G2:G65" ca="1" si="0">DATEDIF(E2, TODAY(), "Y")</f>
        <v>11</v>
      </c>
      <c r="H2" s="3">
        <f t="shared" ref="H2:H65" si="1">EDATE(E2, -12*25)</f>
        <v>32997</v>
      </c>
    </row>
    <row r="3" spans="1:12" x14ac:dyDescent="0.45">
      <c r="A3" s="2">
        <v>1121</v>
      </c>
      <c r="B3" s="5" t="s">
        <v>124</v>
      </c>
      <c r="C3" s="5" t="s">
        <v>495</v>
      </c>
      <c r="D3" s="5" t="s">
        <v>584</v>
      </c>
      <c r="E3" s="15">
        <v>40900</v>
      </c>
      <c r="F3" s="4">
        <v>8015</v>
      </c>
      <c r="G3" s="1">
        <f t="shared" ca="1" si="0"/>
        <v>14</v>
      </c>
      <c r="H3" s="3">
        <f t="shared" si="1"/>
        <v>31769</v>
      </c>
    </row>
    <row r="4" spans="1:12" x14ac:dyDescent="0.45">
      <c r="A4" s="2">
        <v>1362</v>
      </c>
      <c r="B4" s="5" t="s">
        <v>365</v>
      </c>
      <c r="C4" s="5" t="s">
        <v>504</v>
      </c>
      <c r="D4" s="5" t="s">
        <v>596</v>
      </c>
      <c r="E4" s="15">
        <v>41000</v>
      </c>
      <c r="F4" s="4">
        <v>9005</v>
      </c>
      <c r="G4" s="1">
        <f t="shared" ca="1" si="0"/>
        <v>14</v>
      </c>
      <c r="H4" s="3">
        <f t="shared" si="1"/>
        <v>31868</v>
      </c>
    </row>
    <row r="5" spans="1:12" x14ac:dyDescent="0.45">
      <c r="A5" s="2">
        <v>1190</v>
      </c>
      <c r="B5" s="5" t="s">
        <v>193</v>
      </c>
      <c r="C5" s="5" t="s">
        <v>571</v>
      </c>
      <c r="D5" s="5" t="s">
        <v>592</v>
      </c>
      <c r="E5" s="15">
        <v>44949</v>
      </c>
      <c r="F5" s="4">
        <v>2319</v>
      </c>
      <c r="G5" s="1">
        <f t="shared" ca="1" si="0"/>
        <v>3</v>
      </c>
      <c r="H5" s="3">
        <f t="shared" si="1"/>
        <v>35818</v>
      </c>
    </row>
    <row r="6" spans="1:12" x14ac:dyDescent="0.45">
      <c r="A6" s="2">
        <v>1332</v>
      </c>
      <c r="B6" s="5" t="s">
        <v>335</v>
      </c>
      <c r="C6" s="5" t="s">
        <v>553</v>
      </c>
      <c r="D6" s="5" t="s">
        <v>596</v>
      </c>
      <c r="E6" s="15">
        <v>40009</v>
      </c>
      <c r="F6" s="4">
        <v>8413</v>
      </c>
      <c r="G6" s="1">
        <f t="shared" ca="1" si="0"/>
        <v>17</v>
      </c>
      <c r="H6" s="3">
        <f t="shared" si="1"/>
        <v>30878</v>
      </c>
    </row>
    <row r="7" spans="1:12" x14ac:dyDescent="0.45">
      <c r="A7" s="2">
        <v>1479</v>
      </c>
      <c r="B7" s="5" t="s">
        <v>482</v>
      </c>
      <c r="C7" s="5" t="s">
        <v>530</v>
      </c>
      <c r="D7" s="5" t="s">
        <v>590</v>
      </c>
      <c r="E7" s="15">
        <v>44479</v>
      </c>
      <c r="F7" s="4">
        <v>8365</v>
      </c>
      <c r="G7" s="1">
        <f t="shared" ca="1" si="0"/>
        <v>4</v>
      </c>
      <c r="H7" s="3">
        <f t="shared" si="1"/>
        <v>35348</v>
      </c>
    </row>
    <row r="8" spans="1:12" x14ac:dyDescent="0.45">
      <c r="A8" s="2">
        <v>1244</v>
      </c>
      <c r="B8" s="5" t="s">
        <v>247</v>
      </c>
      <c r="C8" s="5" t="s">
        <v>520</v>
      </c>
      <c r="D8" s="5" t="s">
        <v>594</v>
      </c>
      <c r="E8" s="15">
        <v>37490</v>
      </c>
      <c r="F8" s="4">
        <v>4570</v>
      </c>
      <c r="G8" s="1">
        <f t="shared" ca="1" si="0"/>
        <v>23</v>
      </c>
      <c r="H8" s="3">
        <f t="shared" si="1"/>
        <v>28359</v>
      </c>
    </row>
    <row r="9" spans="1:12" x14ac:dyDescent="0.45">
      <c r="A9" s="2">
        <v>1469</v>
      </c>
      <c r="B9" s="5" t="s">
        <v>472</v>
      </c>
      <c r="C9" s="5" t="s">
        <v>518</v>
      </c>
      <c r="D9" s="5" t="s">
        <v>590</v>
      </c>
      <c r="E9" s="15">
        <v>43703</v>
      </c>
      <c r="F9" s="4">
        <v>8967</v>
      </c>
      <c r="G9" s="1">
        <f t="shared" ca="1" si="0"/>
        <v>6</v>
      </c>
      <c r="H9" s="3">
        <f t="shared" si="1"/>
        <v>34572</v>
      </c>
    </row>
    <row r="10" spans="1:12" x14ac:dyDescent="0.45">
      <c r="A10" s="2">
        <v>1257</v>
      </c>
      <c r="B10" s="5" t="s">
        <v>260</v>
      </c>
      <c r="C10" s="5" t="s">
        <v>532</v>
      </c>
      <c r="D10" s="5" t="s">
        <v>587</v>
      </c>
      <c r="E10" s="15">
        <v>37531</v>
      </c>
      <c r="F10" s="4">
        <v>3779</v>
      </c>
      <c r="G10" s="1">
        <f t="shared" ca="1" si="0"/>
        <v>23</v>
      </c>
      <c r="H10" s="3">
        <f t="shared" si="1"/>
        <v>28400</v>
      </c>
    </row>
    <row r="11" spans="1:12" x14ac:dyDescent="0.45">
      <c r="A11" s="2">
        <v>1120</v>
      </c>
      <c r="B11" s="5" t="s">
        <v>123</v>
      </c>
      <c r="C11" s="5" t="s">
        <v>495</v>
      </c>
      <c r="D11" s="5" t="s">
        <v>584</v>
      </c>
      <c r="E11" s="15">
        <v>40897</v>
      </c>
      <c r="F11" s="4">
        <v>7800</v>
      </c>
      <c r="G11" s="1">
        <f t="shared" ca="1" si="0"/>
        <v>14</v>
      </c>
      <c r="H11" s="3">
        <f t="shared" si="1"/>
        <v>31766</v>
      </c>
    </row>
    <row r="12" spans="1:12" x14ac:dyDescent="0.45">
      <c r="A12" s="2">
        <v>1149</v>
      </c>
      <c r="B12" s="5" t="s">
        <v>152</v>
      </c>
      <c r="C12" s="5" t="s">
        <v>500</v>
      </c>
      <c r="D12" s="5" t="s">
        <v>590</v>
      </c>
      <c r="E12" s="15">
        <v>42473</v>
      </c>
      <c r="F12" s="4">
        <v>1500</v>
      </c>
      <c r="G12" s="1">
        <f t="shared" ca="1" si="0"/>
        <v>10</v>
      </c>
      <c r="H12" s="3">
        <f t="shared" si="1"/>
        <v>33341</v>
      </c>
    </row>
    <row r="13" spans="1:12" x14ac:dyDescent="0.45">
      <c r="A13" s="2">
        <v>1213</v>
      </c>
      <c r="B13" s="5" t="s">
        <v>216</v>
      </c>
      <c r="C13" s="5" t="s">
        <v>511</v>
      </c>
      <c r="D13" s="5" t="s">
        <v>593</v>
      </c>
      <c r="E13" s="15">
        <v>41939</v>
      </c>
      <c r="F13" s="4">
        <v>2551</v>
      </c>
      <c r="G13" s="1">
        <f t="shared" ca="1" si="0"/>
        <v>11</v>
      </c>
      <c r="H13" s="3">
        <f t="shared" si="1"/>
        <v>32808</v>
      </c>
    </row>
    <row r="14" spans="1:12" x14ac:dyDescent="0.45">
      <c r="A14" s="2">
        <v>1131</v>
      </c>
      <c r="B14" s="5" t="s">
        <v>134</v>
      </c>
      <c r="C14" s="5" t="s">
        <v>492</v>
      </c>
      <c r="D14" s="5" t="s">
        <v>584</v>
      </c>
      <c r="E14" s="15">
        <v>41277</v>
      </c>
      <c r="F14" s="4">
        <v>2000</v>
      </c>
      <c r="G14" s="1">
        <f t="shared" ca="1" si="0"/>
        <v>13</v>
      </c>
      <c r="H14" s="3">
        <f t="shared" si="1"/>
        <v>32145</v>
      </c>
    </row>
    <row r="15" spans="1:12" x14ac:dyDescent="0.45">
      <c r="A15" s="2">
        <v>1298</v>
      </c>
      <c r="B15" s="5" t="s">
        <v>301</v>
      </c>
      <c r="C15" s="5" t="s">
        <v>538</v>
      </c>
      <c r="D15" s="5" t="s">
        <v>583</v>
      </c>
      <c r="E15" s="15">
        <v>37994</v>
      </c>
      <c r="F15" s="4">
        <v>9005</v>
      </c>
      <c r="G15" s="1">
        <f t="shared" ca="1" si="0"/>
        <v>22</v>
      </c>
      <c r="H15" s="3">
        <f t="shared" si="1"/>
        <v>28863</v>
      </c>
      <c r="L15" s="7"/>
    </row>
    <row r="16" spans="1:12" x14ac:dyDescent="0.45">
      <c r="A16" s="2">
        <v>1197</v>
      </c>
      <c r="B16" s="5" t="s">
        <v>200</v>
      </c>
      <c r="C16" s="5" t="s">
        <v>571</v>
      </c>
      <c r="D16" s="5" t="s">
        <v>592</v>
      </c>
      <c r="E16" s="15">
        <v>45311</v>
      </c>
      <c r="F16" s="4">
        <v>3332</v>
      </c>
      <c r="G16" s="1">
        <f t="shared" ca="1" si="0"/>
        <v>2</v>
      </c>
      <c r="H16" s="3">
        <f t="shared" si="1"/>
        <v>36180</v>
      </c>
    </row>
    <row r="17" spans="1:8" x14ac:dyDescent="0.45">
      <c r="A17" s="2">
        <v>1349</v>
      </c>
      <c r="B17" s="5" t="s">
        <v>352</v>
      </c>
      <c r="C17" s="5" t="s">
        <v>554</v>
      </c>
      <c r="D17" s="5" t="s">
        <v>596</v>
      </c>
      <c r="E17" s="15">
        <v>40472</v>
      </c>
      <c r="F17" s="4">
        <v>7107</v>
      </c>
      <c r="G17" s="1">
        <f t="shared" ca="1" si="0"/>
        <v>15</v>
      </c>
      <c r="H17" s="3">
        <f t="shared" si="1"/>
        <v>31341</v>
      </c>
    </row>
    <row r="18" spans="1:8" x14ac:dyDescent="0.45">
      <c r="A18" s="2">
        <v>1243</v>
      </c>
      <c r="B18" s="5" t="s">
        <v>246</v>
      </c>
      <c r="C18" s="5" t="s">
        <v>520</v>
      </c>
      <c r="D18" s="5" t="s">
        <v>594</v>
      </c>
      <c r="E18" s="15">
        <v>37445</v>
      </c>
      <c r="F18" s="4">
        <v>4570</v>
      </c>
      <c r="G18" s="1">
        <f t="shared" ca="1" si="0"/>
        <v>24</v>
      </c>
      <c r="H18" s="3">
        <f t="shared" si="1"/>
        <v>28314</v>
      </c>
    </row>
    <row r="19" spans="1:8" x14ac:dyDescent="0.45">
      <c r="A19" s="2">
        <v>1132</v>
      </c>
      <c r="B19" s="5" t="s">
        <v>135</v>
      </c>
      <c r="C19" s="5" t="s">
        <v>492</v>
      </c>
      <c r="D19" s="5" t="s">
        <v>584</v>
      </c>
      <c r="E19" s="15">
        <v>41415</v>
      </c>
      <c r="F19" s="4">
        <v>1712</v>
      </c>
      <c r="G19" s="1">
        <f t="shared" ca="1" si="0"/>
        <v>13</v>
      </c>
      <c r="H19" s="3">
        <f t="shared" si="1"/>
        <v>32284</v>
      </c>
    </row>
    <row r="20" spans="1:8" x14ac:dyDescent="0.45">
      <c r="A20" s="2">
        <v>1333</v>
      </c>
      <c r="B20" s="5" t="s">
        <v>336</v>
      </c>
      <c r="C20" s="5" t="s">
        <v>553</v>
      </c>
      <c r="D20" s="5" t="s">
        <v>596</v>
      </c>
      <c r="E20" s="15">
        <v>40053</v>
      </c>
      <c r="F20" s="4">
        <v>8467</v>
      </c>
      <c r="G20" s="1">
        <f t="shared" ca="1" si="0"/>
        <v>16</v>
      </c>
      <c r="H20" s="3">
        <f t="shared" si="1"/>
        <v>30922</v>
      </c>
    </row>
    <row r="21" spans="1:8" x14ac:dyDescent="0.45">
      <c r="A21" s="2">
        <v>1221</v>
      </c>
      <c r="B21" s="5" t="s">
        <v>224</v>
      </c>
      <c r="C21" s="5" t="s">
        <v>520</v>
      </c>
      <c r="D21" s="5" t="s">
        <v>593</v>
      </c>
      <c r="E21" s="15">
        <v>43531</v>
      </c>
      <c r="F21" s="4">
        <v>4114</v>
      </c>
      <c r="G21" s="1">
        <f t="shared" ca="1" si="0"/>
        <v>7</v>
      </c>
      <c r="H21" s="3">
        <f t="shared" si="1"/>
        <v>34400</v>
      </c>
    </row>
    <row r="22" spans="1:8" x14ac:dyDescent="0.45">
      <c r="A22" s="2">
        <v>1307</v>
      </c>
      <c r="B22" s="5" t="s">
        <v>310</v>
      </c>
      <c r="C22" s="5" t="s">
        <v>538</v>
      </c>
      <c r="D22" s="5" t="s">
        <v>583</v>
      </c>
      <c r="E22" s="15">
        <v>38541</v>
      </c>
      <c r="F22" s="4">
        <v>7800</v>
      </c>
      <c r="G22" s="1">
        <f t="shared" ca="1" si="0"/>
        <v>21</v>
      </c>
      <c r="H22" s="3">
        <f t="shared" si="1"/>
        <v>29410</v>
      </c>
    </row>
    <row r="23" spans="1:8" x14ac:dyDescent="0.45">
      <c r="A23" s="2">
        <v>1032</v>
      </c>
      <c r="B23" s="5" t="s">
        <v>35</v>
      </c>
      <c r="C23" s="5" t="s">
        <v>521</v>
      </c>
      <c r="D23" s="5" t="s">
        <v>586</v>
      </c>
      <c r="E23" s="15">
        <v>37140</v>
      </c>
      <c r="F23" s="4">
        <v>6854</v>
      </c>
      <c r="G23" s="1">
        <f t="shared" ca="1" si="0"/>
        <v>24</v>
      </c>
      <c r="H23" s="3">
        <f t="shared" si="1"/>
        <v>28009</v>
      </c>
    </row>
    <row r="24" spans="1:8" x14ac:dyDescent="0.45">
      <c r="A24" s="2">
        <v>1021</v>
      </c>
      <c r="B24" s="5" t="s">
        <v>24</v>
      </c>
      <c r="C24" s="5" t="s">
        <v>510</v>
      </c>
      <c r="D24" s="5" t="s">
        <v>584</v>
      </c>
      <c r="E24" s="15">
        <v>36579</v>
      </c>
      <c r="F24" s="4">
        <v>4809</v>
      </c>
      <c r="G24" s="1">
        <f t="shared" ca="1" si="0"/>
        <v>26</v>
      </c>
      <c r="H24" s="3">
        <f t="shared" si="1"/>
        <v>27448</v>
      </c>
    </row>
    <row r="25" spans="1:8" x14ac:dyDescent="0.45">
      <c r="A25" s="2">
        <v>1267</v>
      </c>
      <c r="B25" s="5" t="s">
        <v>270</v>
      </c>
      <c r="C25" s="5" t="s">
        <v>532</v>
      </c>
      <c r="D25" s="5" t="s">
        <v>587</v>
      </c>
      <c r="E25" s="15">
        <v>36811</v>
      </c>
      <c r="F25" s="4">
        <v>8365</v>
      </c>
      <c r="G25" s="1">
        <f t="shared" ca="1" si="0"/>
        <v>25</v>
      </c>
      <c r="H25" s="3">
        <f t="shared" si="1"/>
        <v>27679</v>
      </c>
    </row>
    <row r="26" spans="1:8" x14ac:dyDescent="0.45">
      <c r="A26" s="2">
        <v>1037</v>
      </c>
      <c r="B26" s="5" t="s">
        <v>40</v>
      </c>
      <c r="C26" s="5" t="s">
        <v>526</v>
      </c>
      <c r="D26" s="5" t="s">
        <v>586</v>
      </c>
      <c r="E26" s="15">
        <v>37445</v>
      </c>
      <c r="F26" s="4">
        <v>8413</v>
      </c>
      <c r="G26" s="1">
        <f t="shared" ca="1" si="0"/>
        <v>24</v>
      </c>
      <c r="H26" s="3">
        <f t="shared" si="1"/>
        <v>28314</v>
      </c>
    </row>
    <row r="27" spans="1:8" x14ac:dyDescent="0.45">
      <c r="A27" s="2">
        <v>1028</v>
      </c>
      <c r="B27" s="5" t="s">
        <v>31</v>
      </c>
      <c r="C27" s="5" t="s">
        <v>517</v>
      </c>
      <c r="D27" s="5" t="s">
        <v>586</v>
      </c>
      <c r="E27" s="15">
        <v>37167</v>
      </c>
      <c r="F27" s="4">
        <v>6181</v>
      </c>
      <c r="G27" s="1">
        <f t="shared" ca="1" si="0"/>
        <v>24</v>
      </c>
      <c r="H27" s="3">
        <f t="shared" si="1"/>
        <v>28036</v>
      </c>
    </row>
    <row r="28" spans="1:8" x14ac:dyDescent="0.45">
      <c r="A28" s="2">
        <v>1287</v>
      </c>
      <c r="B28" s="5" t="s">
        <v>290</v>
      </c>
      <c r="C28" s="5" t="s">
        <v>553</v>
      </c>
      <c r="D28" s="5" t="s">
        <v>583</v>
      </c>
      <c r="E28" s="15">
        <v>37867</v>
      </c>
      <c r="F28" s="4">
        <v>8015</v>
      </c>
      <c r="G28" s="1">
        <f t="shared" ca="1" si="0"/>
        <v>22</v>
      </c>
      <c r="H28" s="3">
        <f t="shared" si="1"/>
        <v>28736</v>
      </c>
    </row>
    <row r="29" spans="1:8" x14ac:dyDescent="0.45">
      <c r="A29" s="2">
        <v>1141</v>
      </c>
      <c r="B29" s="5" t="s">
        <v>144</v>
      </c>
      <c r="C29" s="5" t="s">
        <v>500</v>
      </c>
      <c r="D29" s="5" t="s">
        <v>584</v>
      </c>
      <c r="E29" s="15">
        <v>42038</v>
      </c>
      <c r="F29" s="4">
        <v>3668</v>
      </c>
      <c r="G29" s="1">
        <f t="shared" ca="1" si="0"/>
        <v>11</v>
      </c>
      <c r="H29" s="3">
        <f t="shared" si="1"/>
        <v>32907</v>
      </c>
    </row>
    <row r="30" spans="1:8" x14ac:dyDescent="0.45">
      <c r="A30" s="2">
        <v>1143</v>
      </c>
      <c r="B30" s="5" t="s">
        <v>146</v>
      </c>
      <c r="C30" s="5" t="s">
        <v>500</v>
      </c>
      <c r="D30" s="5" t="s">
        <v>584</v>
      </c>
      <c r="E30" s="15">
        <v>42159</v>
      </c>
      <c r="F30" s="4">
        <v>3839</v>
      </c>
      <c r="G30" s="1">
        <f t="shared" ca="1" si="0"/>
        <v>11</v>
      </c>
      <c r="H30" s="3">
        <f t="shared" si="1"/>
        <v>33028</v>
      </c>
    </row>
    <row r="31" spans="1:8" x14ac:dyDescent="0.45">
      <c r="A31" s="2">
        <v>1420</v>
      </c>
      <c r="B31" s="5" t="s">
        <v>423</v>
      </c>
      <c r="C31" s="5" t="s">
        <v>507</v>
      </c>
      <c r="D31" s="5" t="s">
        <v>586</v>
      </c>
      <c r="E31" s="15">
        <v>44814</v>
      </c>
      <c r="F31" s="4">
        <v>8467</v>
      </c>
      <c r="G31" s="1">
        <f t="shared" ca="1" si="0"/>
        <v>3</v>
      </c>
      <c r="H31" s="3">
        <f t="shared" si="1"/>
        <v>35683</v>
      </c>
    </row>
    <row r="32" spans="1:8" x14ac:dyDescent="0.45">
      <c r="A32" s="2">
        <v>1130</v>
      </c>
      <c r="B32" s="5" t="s">
        <v>133</v>
      </c>
      <c r="C32" s="5" t="s">
        <v>492</v>
      </c>
      <c r="D32" s="5" t="s">
        <v>584</v>
      </c>
      <c r="E32" s="15">
        <v>41329</v>
      </c>
      <c r="F32" s="4">
        <v>1500</v>
      </c>
      <c r="G32" s="1">
        <f t="shared" ca="1" si="0"/>
        <v>13</v>
      </c>
      <c r="H32" s="3">
        <f t="shared" si="1"/>
        <v>32197</v>
      </c>
    </row>
    <row r="33" spans="1:8" x14ac:dyDescent="0.45">
      <c r="A33" s="2">
        <v>1393</v>
      </c>
      <c r="B33" s="5" t="s">
        <v>396</v>
      </c>
      <c r="C33" s="5" t="s">
        <v>506</v>
      </c>
      <c r="D33" s="5" t="s">
        <v>584</v>
      </c>
      <c r="E33" s="15">
        <v>43063</v>
      </c>
      <c r="F33" s="4">
        <v>10167</v>
      </c>
      <c r="G33" s="1">
        <f t="shared" ca="1" si="0"/>
        <v>8</v>
      </c>
      <c r="H33" s="3">
        <f t="shared" si="1"/>
        <v>33932</v>
      </c>
    </row>
    <row r="34" spans="1:8" x14ac:dyDescent="0.45">
      <c r="A34" s="2">
        <v>1414</v>
      </c>
      <c r="B34" s="5" t="s">
        <v>417</v>
      </c>
      <c r="C34" s="5" t="s">
        <v>505</v>
      </c>
      <c r="D34" s="5" t="s">
        <v>584</v>
      </c>
      <c r="E34" s="15">
        <v>44488</v>
      </c>
      <c r="F34" s="4">
        <v>10167</v>
      </c>
      <c r="G34" s="1">
        <f t="shared" ca="1" si="0"/>
        <v>4</v>
      </c>
      <c r="H34" s="3">
        <f t="shared" si="1"/>
        <v>35357</v>
      </c>
    </row>
    <row r="35" spans="1:8" x14ac:dyDescent="0.45">
      <c r="A35" s="2">
        <v>1348</v>
      </c>
      <c r="B35" s="5" t="s">
        <v>351</v>
      </c>
      <c r="C35" s="5" t="s">
        <v>554</v>
      </c>
      <c r="D35" s="5" t="s">
        <v>596</v>
      </c>
      <c r="E35" s="15">
        <v>40449</v>
      </c>
      <c r="F35" s="4">
        <v>10167</v>
      </c>
      <c r="G35" s="1">
        <f t="shared" ca="1" si="0"/>
        <v>15</v>
      </c>
      <c r="H35" s="3">
        <f t="shared" si="1"/>
        <v>31318</v>
      </c>
    </row>
    <row r="36" spans="1:8" x14ac:dyDescent="0.45">
      <c r="A36" s="2">
        <v>1178</v>
      </c>
      <c r="B36" s="5" t="s">
        <v>181</v>
      </c>
      <c r="C36" s="5" t="s">
        <v>501</v>
      </c>
      <c r="D36" s="5" t="s">
        <v>591</v>
      </c>
      <c r="E36" s="15">
        <v>44099</v>
      </c>
      <c r="F36" s="4">
        <v>3332</v>
      </c>
      <c r="G36" s="1">
        <f t="shared" ca="1" si="0"/>
        <v>5</v>
      </c>
      <c r="H36" s="3">
        <f t="shared" si="1"/>
        <v>34967</v>
      </c>
    </row>
    <row r="37" spans="1:8" x14ac:dyDescent="0.45">
      <c r="A37" s="2">
        <v>1012</v>
      </c>
      <c r="B37" s="5" t="s">
        <v>15</v>
      </c>
      <c r="C37" s="5" t="s">
        <v>491</v>
      </c>
      <c r="D37" s="5" t="s">
        <v>585</v>
      </c>
      <c r="E37" s="15">
        <v>36987</v>
      </c>
      <c r="F37" s="4">
        <v>3668</v>
      </c>
      <c r="G37" s="1">
        <f t="shared" ca="1" si="0"/>
        <v>25</v>
      </c>
      <c r="H37" s="3">
        <f t="shared" si="1"/>
        <v>27856</v>
      </c>
    </row>
    <row r="38" spans="1:8" x14ac:dyDescent="0.45">
      <c r="A38" s="2">
        <v>1320</v>
      </c>
      <c r="B38" s="5" t="s">
        <v>323</v>
      </c>
      <c r="C38" s="5" t="s">
        <v>553</v>
      </c>
      <c r="D38" s="5" t="s">
        <v>595</v>
      </c>
      <c r="E38" s="15">
        <v>39190</v>
      </c>
      <c r="F38" s="4">
        <v>9123</v>
      </c>
      <c r="G38" s="1">
        <f t="shared" ca="1" si="0"/>
        <v>19</v>
      </c>
      <c r="H38" s="3">
        <f t="shared" si="1"/>
        <v>30059</v>
      </c>
    </row>
    <row r="39" spans="1:8" x14ac:dyDescent="0.45">
      <c r="A39" s="2">
        <v>1095</v>
      </c>
      <c r="B39" s="5" t="s">
        <v>98</v>
      </c>
      <c r="C39" s="5" t="s">
        <v>491</v>
      </c>
      <c r="D39" s="5" t="s">
        <v>584</v>
      </c>
      <c r="E39" s="15">
        <v>39855</v>
      </c>
      <c r="F39" s="4">
        <v>19071</v>
      </c>
      <c r="G39" s="1">
        <f t="shared" ca="1" si="0"/>
        <v>17</v>
      </c>
      <c r="H39" s="3">
        <f t="shared" si="1"/>
        <v>30723</v>
      </c>
    </row>
    <row r="40" spans="1:8" x14ac:dyDescent="0.45">
      <c r="A40" s="2">
        <v>1346</v>
      </c>
      <c r="B40" s="5" t="s">
        <v>349</v>
      </c>
      <c r="C40" s="5" t="s">
        <v>554</v>
      </c>
      <c r="D40" s="5" t="s">
        <v>596</v>
      </c>
      <c r="E40" s="15">
        <v>40488</v>
      </c>
      <c r="F40" s="4">
        <v>9581</v>
      </c>
      <c r="G40" s="1">
        <f t="shared" ca="1" si="0"/>
        <v>15</v>
      </c>
      <c r="H40" s="3">
        <f t="shared" si="1"/>
        <v>31357</v>
      </c>
    </row>
    <row r="41" spans="1:8" x14ac:dyDescent="0.45">
      <c r="A41" s="2">
        <v>1119</v>
      </c>
      <c r="B41" s="5" t="s">
        <v>122</v>
      </c>
      <c r="C41" s="5" t="s">
        <v>495</v>
      </c>
      <c r="D41" s="5" t="s">
        <v>584</v>
      </c>
      <c r="E41" s="15">
        <v>40868</v>
      </c>
      <c r="F41" s="4">
        <v>7107</v>
      </c>
      <c r="G41" s="1">
        <f t="shared" ca="1" si="0"/>
        <v>14</v>
      </c>
      <c r="H41" s="3">
        <f t="shared" si="1"/>
        <v>31737</v>
      </c>
    </row>
    <row r="42" spans="1:8" x14ac:dyDescent="0.45">
      <c r="A42" s="2">
        <v>1299</v>
      </c>
      <c r="B42" s="5" t="s">
        <v>302</v>
      </c>
      <c r="C42" s="5" t="s">
        <v>538</v>
      </c>
      <c r="D42" s="5" t="s">
        <v>583</v>
      </c>
      <c r="E42" s="15">
        <v>38146</v>
      </c>
      <c r="F42" s="4">
        <v>9123</v>
      </c>
      <c r="G42" s="1">
        <f t="shared" ca="1" si="0"/>
        <v>22</v>
      </c>
      <c r="H42" s="3">
        <f t="shared" si="1"/>
        <v>29014</v>
      </c>
    </row>
    <row r="43" spans="1:8" x14ac:dyDescent="0.45">
      <c r="A43" s="2">
        <v>1055</v>
      </c>
      <c r="B43" s="5" t="s">
        <v>58</v>
      </c>
      <c r="C43" s="5" t="s">
        <v>544</v>
      </c>
      <c r="D43" s="5" t="s">
        <v>583</v>
      </c>
      <c r="E43" s="15">
        <v>38061</v>
      </c>
      <c r="F43" s="4">
        <v>10248</v>
      </c>
      <c r="G43" s="1">
        <f t="shared" ca="1" si="0"/>
        <v>22</v>
      </c>
      <c r="H43" s="3">
        <f t="shared" si="1"/>
        <v>28929</v>
      </c>
    </row>
    <row r="44" spans="1:8" x14ac:dyDescent="0.45">
      <c r="A44" s="2">
        <v>1367</v>
      </c>
      <c r="B44" s="5" t="s">
        <v>370</v>
      </c>
      <c r="C44" s="5" t="s">
        <v>504</v>
      </c>
      <c r="D44" s="5" t="s">
        <v>596</v>
      </c>
      <c r="E44" s="15">
        <v>41083</v>
      </c>
      <c r="F44" s="4">
        <v>9581</v>
      </c>
      <c r="G44" s="1">
        <f t="shared" ca="1" si="0"/>
        <v>14</v>
      </c>
      <c r="H44" s="3">
        <f t="shared" si="1"/>
        <v>31951</v>
      </c>
    </row>
    <row r="45" spans="1:8" x14ac:dyDescent="0.45">
      <c r="A45" s="2">
        <v>1334</v>
      </c>
      <c r="B45" s="5" t="s">
        <v>337</v>
      </c>
      <c r="C45" s="5" t="s">
        <v>553</v>
      </c>
      <c r="D45" s="5" t="s">
        <v>596</v>
      </c>
      <c r="E45" s="15">
        <v>40108</v>
      </c>
      <c r="F45" s="4">
        <v>8555</v>
      </c>
      <c r="G45" s="1">
        <f t="shared" ca="1" si="0"/>
        <v>16</v>
      </c>
      <c r="H45" s="3">
        <f t="shared" si="1"/>
        <v>30977</v>
      </c>
    </row>
    <row r="46" spans="1:8" x14ac:dyDescent="0.45">
      <c r="A46" s="2">
        <v>1107</v>
      </c>
      <c r="B46" s="5" t="s">
        <v>110</v>
      </c>
      <c r="C46" s="5" t="s">
        <v>579</v>
      </c>
      <c r="D46" s="5" t="s">
        <v>584</v>
      </c>
      <c r="E46" s="15">
        <v>40277</v>
      </c>
      <c r="F46" s="4">
        <v>10273</v>
      </c>
      <c r="G46" s="1">
        <f t="shared" ca="1" si="0"/>
        <v>16</v>
      </c>
      <c r="H46" s="3">
        <f t="shared" si="1"/>
        <v>31146</v>
      </c>
    </row>
    <row r="47" spans="1:8" x14ac:dyDescent="0.45">
      <c r="A47" s="2">
        <v>1301</v>
      </c>
      <c r="B47" s="5" t="s">
        <v>304</v>
      </c>
      <c r="C47" s="5" t="s">
        <v>538</v>
      </c>
      <c r="D47" s="5" t="s">
        <v>583</v>
      </c>
      <c r="E47" s="15">
        <v>37998</v>
      </c>
      <c r="F47" s="4">
        <v>9521</v>
      </c>
      <c r="G47" s="1">
        <f t="shared" ca="1" si="0"/>
        <v>22</v>
      </c>
      <c r="H47" s="3">
        <f t="shared" si="1"/>
        <v>28867</v>
      </c>
    </row>
    <row r="48" spans="1:8" x14ac:dyDescent="0.45">
      <c r="A48" s="2">
        <v>1376</v>
      </c>
      <c r="B48" s="5" t="s">
        <v>379</v>
      </c>
      <c r="C48" s="5" t="s">
        <v>529</v>
      </c>
      <c r="D48" s="5" t="s">
        <v>584</v>
      </c>
      <c r="E48" s="15">
        <v>41694</v>
      </c>
      <c r="F48" s="4">
        <v>8467</v>
      </c>
      <c r="G48" s="1">
        <f t="shared" ca="1" si="0"/>
        <v>12</v>
      </c>
      <c r="H48" s="3">
        <f t="shared" si="1"/>
        <v>32563</v>
      </c>
    </row>
    <row r="49" spans="1:8" x14ac:dyDescent="0.45">
      <c r="A49" s="2">
        <v>1456</v>
      </c>
      <c r="B49" s="5" t="s">
        <v>459</v>
      </c>
      <c r="C49" s="5" t="s">
        <v>517</v>
      </c>
      <c r="D49" s="5" t="s">
        <v>590</v>
      </c>
      <c r="E49" s="15">
        <v>43071</v>
      </c>
      <c r="F49" s="4">
        <v>10167</v>
      </c>
      <c r="G49" s="1">
        <f t="shared" ca="1" si="0"/>
        <v>8</v>
      </c>
      <c r="H49" s="3">
        <f t="shared" si="1"/>
        <v>33940</v>
      </c>
    </row>
    <row r="50" spans="1:8" x14ac:dyDescent="0.45">
      <c r="A50" s="2">
        <v>1399</v>
      </c>
      <c r="B50" s="5" t="s">
        <v>402</v>
      </c>
      <c r="C50" s="5" t="s">
        <v>506</v>
      </c>
      <c r="D50" s="5" t="s">
        <v>584</v>
      </c>
      <c r="E50" s="15">
        <v>43450</v>
      </c>
      <c r="F50" s="4">
        <v>8467</v>
      </c>
      <c r="G50" s="1">
        <f t="shared" ca="1" si="0"/>
        <v>7</v>
      </c>
      <c r="H50" s="3">
        <f t="shared" si="1"/>
        <v>34319</v>
      </c>
    </row>
    <row r="51" spans="1:8" x14ac:dyDescent="0.45">
      <c r="A51" s="2">
        <v>1049</v>
      </c>
      <c r="B51" s="5" t="s">
        <v>52</v>
      </c>
      <c r="C51" s="5" t="s">
        <v>538</v>
      </c>
      <c r="D51" s="5" t="s">
        <v>583</v>
      </c>
      <c r="E51" s="15">
        <v>37817</v>
      </c>
      <c r="F51" s="4">
        <v>9521</v>
      </c>
      <c r="G51" s="1">
        <f t="shared" ca="1" si="0"/>
        <v>23</v>
      </c>
      <c r="H51" s="3">
        <f t="shared" si="1"/>
        <v>28686</v>
      </c>
    </row>
    <row r="52" spans="1:8" x14ac:dyDescent="0.45">
      <c r="A52" s="2">
        <v>1432</v>
      </c>
      <c r="B52" s="5" t="s">
        <v>435</v>
      </c>
      <c r="C52" s="5" t="s">
        <v>507</v>
      </c>
      <c r="D52" s="5" t="s">
        <v>586</v>
      </c>
      <c r="E52" s="15">
        <v>41839</v>
      </c>
      <c r="F52" s="4">
        <v>9524</v>
      </c>
      <c r="G52" s="1">
        <f t="shared" ca="1" si="0"/>
        <v>12</v>
      </c>
      <c r="H52" s="3">
        <f t="shared" si="1"/>
        <v>32708</v>
      </c>
    </row>
    <row r="53" spans="1:8" x14ac:dyDescent="0.45">
      <c r="A53" s="2">
        <v>1407</v>
      </c>
      <c r="B53" s="5" t="s">
        <v>410</v>
      </c>
      <c r="C53" s="5" t="s">
        <v>505</v>
      </c>
      <c r="D53" s="5" t="s">
        <v>584</v>
      </c>
      <c r="E53" s="15">
        <v>44048</v>
      </c>
      <c r="F53" s="4">
        <v>9005</v>
      </c>
      <c r="G53" s="1">
        <f t="shared" ca="1" si="0"/>
        <v>6</v>
      </c>
      <c r="H53" s="3">
        <f t="shared" si="1"/>
        <v>34916</v>
      </c>
    </row>
    <row r="54" spans="1:8" x14ac:dyDescent="0.45">
      <c r="A54" s="2">
        <v>1385</v>
      </c>
      <c r="B54" s="5" t="s">
        <v>388</v>
      </c>
      <c r="C54" s="5" t="s">
        <v>529</v>
      </c>
      <c r="D54" s="5" t="s">
        <v>584</v>
      </c>
      <c r="E54" s="15">
        <v>42228</v>
      </c>
      <c r="F54" s="4">
        <v>9123</v>
      </c>
      <c r="G54" s="1">
        <f t="shared" ca="1" si="0"/>
        <v>11</v>
      </c>
      <c r="H54" s="3">
        <f t="shared" si="1"/>
        <v>33097</v>
      </c>
    </row>
    <row r="55" spans="1:8" x14ac:dyDescent="0.45">
      <c r="A55" s="2">
        <v>1319</v>
      </c>
      <c r="B55" s="5" t="s">
        <v>322</v>
      </c>
      <c r="C55" s="5" t="s">
        <v>553</v>
      </c>
      <c r="D55" s="5" t="s">
        <v>595</v>
      </c>
      <c r="E55" s="15">
        <v>39172</v>
      </c>
      <c r="F55" s="4">
        <v>9005</v>
      </c>
      <c r="G55" s="1">
        <f t="shared" ca="1" si="0"/>
        <v>19</v>
      </c>
      <c r="H55" s="3">
        <f t="shared" si="1"/>
        <v>30041</v>
      </c>
    </row>
    <row r="56" spans="1:8" x14ac:dyDescent="0.45">
      <c r="A56" s="2">
        <v>1031</v>
      </c>
      <c r="B56" s="5" t="s">
        <v>34</v>
      </c>
      <c r="C56" s="5" t="s">
        <v>520</v>
      </c>
      <c r="D56" s="5" t="s">
        <v>586</v>
      </c>
      <c r="E56" s="15">
        <v>36987</v>
      </c>
      <c r="F56" s="4">
        <v>6829</v>
      </c>
      <c r="G56" s="1">
        <f t="shared" ca="1" si="0"/>
        <v>25</v>
      </c>
      <c r="H56" s="3">
        <f t="shared" si="1"/>
        <v>27856</v>
      </c>
    </row>
    <row r="57" spans="1:8" x14ac:dyDescent="0.45">
      <c r="A57" s="2">
        <v>1172</v>
      </c>
      <c r="B57" s="5" t="s">
        <v>175</v>
      </c>
      <c r="C57" s="5" t="s">
        <v>501</v>
      </c>
      <c r="D57" s="5" t="s">
        <v>591</v>
      </c>
      <c r="E57" s="15">
        <v>43885</v>
      </c>
      <c r="F57" s="4">
        <v>2369</v>
      </c>
      <c r="G57" s="1">
        <f t="shared" ca="1" si="0"/>
        <v>6</v>
      </c>
      <c r="H57" s="3">
        <f t="shared" si="1"/>
        <v>34754</v>
      </c>
    </row>
    <row r="58" spans="1:8" x14ac:dyDescent="0.45">
      <c r="A58" s="2">
        <v>1010</v>
      </c>
      <c r="B58" s="5" t="s">
        <v>13</v>
      </c>
      <c r="C58" s="5" t="s">
        <v>500</v>
      </c>
      <c r="D58" s="5" t="s">
        <v>585</v>
      </c>
      <c r="E58" s="15">
        <v>36955</v>
      </c>
      <c r="F58" s="4">
        <v>3001</v>
      </c>
      <c r="G58" s="1">
        <f t="shared" ca="1" si="0"/>
        <v>25</v>
      </c>
      <c r="H58" s="3">
        <f t="shared" si="1"/>
        <v>27824</v>
      </c>
    </row>
    <row r="59" spans="1:8" x14ac:dyDescent="0.45">
      <c r="A59" s="2">
        <v>1386</v>
      </c>
      <c r="B59" s="5" t="s">
        <v>389</v>
      </c>
      <c r="C59" s="5" t="s">
        <v>529</v>
      </c>
      <c r="D59" s="5" t="s">
        <v>584</v>
      </c>
      <c r="E59" s="15">
        <v>42727</v>
      </c>
      <c r="F59" s="4">
        <v>9128</v>
      </c>
      <c r="G59" s="1">
        <f t="shared" ca="1" si="0"/>
        <v>9</v>
      </c>
      <c r="H59" s="3">
        <f t="shared" si="1"/>
        <v>33595</v>
      </c>
    </row>
    <row r="60" spans="1:8" x14ac:dyDescent="0.45">
      <c r="A60" s="2">
        <v>1156</v>
      </c>
      <c r="B60" s="5" t="s">
        <v>159</v>
      </c>
      <c r="C60" s="5" t="s">
        <v>500</v>
      </c>
      <c r="D60" s="5" t="s">
        <v>590</v>
      </c>
      <c r="E60" s="15">
        <v>42750</v>
      </c>
      <c r="F60" s="4">
        <v>2551</v>
      </c>
      <c r="G60" s="1">
        <f t="shared" ca="1" si="0"/>
        <v>9</v>
      </c>
      <c r="H60" s="3">
        <f t="shared" si="1"/>
        <v>33618</v>
      </c>
    </row>
    <row r="61" spans="1:8" x14ac:dyDescent="0.45">
      <c r="A61" s="2">
        <v>1480</v>
      </c>
      <c r="B61" s="5" t="s">
        <v>483</v>
      </c>
      <c r="C61" s="5" t="s">
        <v>530</v>
      </c>
      <c r="D61" s="5" t="s">
        <v>590</v>
      </c>
      <c r="E61" s="15">
        <v>44488</v>
      </c>
      <c r="F61" s="4">
        <v>8413</v>
      </c>
      <c r="G61" s="1">
        <f t="shared" ca="1" si="0"/>
        <v>4</v>
      </c>
      <c r="H61" s="3">
        <f t="shared" si="1"/>
        <v>35357</v>
      </c>
    </row>
    <row r="62" spans="1:8" x14ac:dyDescent="0.45">
      <c r="A62" s="2">
        <v>1206</v>
      </c>
      <c r="B62" s="5" t="s">
        <v>209</v>
      </c>
      <c r="C62" s="5" t="s">
        <v>511</v>
      </c>
      <c r="D62" s="5" t="s">
        <v>592</v>
      </c>
      <c r="E62" s="15">
        <v>41839</v>
      </c>
      <c r="F62" s="4">
        <v>1500</v>
      </c>
      <c r="G62" s="1">
        <f t="shared" ca="1" si="0"/>
        <v>12</v>
      </c>
      <c r="H62" s="3">
        <f t="shared" si="1"/>
        <v>32708</v>
      </c>
    </row>
    <row r="63" spans="1:8" x14ac:dyDescent="0.45">
      <c r="A63" s="2">
        <v>1312</v>
      </c>
      <c r="B63" s="5" t="s">
        <v>315</v>
      </c>
      <c r="C63" s="5" t="s">
        <v>553</v>
      </c>
      <c r="D63" s="5" t="s">
        <v>595</v>
      </c>
      <c r="E63" s="15">
        <v>38872</v>
      </c>
      <c r="F63" s="4">
        <v>8555</v>
      </c>
      <c r="G63" s="1">
        <f t="shared" ca="1" si="0"/>
        <v>20</v>
      </c>
      <c r="H63" s="3">
        <f t="shared" si="1"/>
        <v>29741</v>
      </c>
    </row>
    <row r="64" spans="1:8" x14ac:dyDescent="0.45">
      <c r="A64" s="2">
        <v>1030</v>
      </c>
      <c r="B64" s="5" t="s">
        <v>33</v>
      </c>
      <c r="C64" s="5" t="s">
        <v>519</v>
      </c>
      <c r="D64" s="5" t="s">
        <v>586</v>
      </c>
      <c r="E64" s="15">
        <v>37040</v>
      </c>
      <c r="F64" s="4">
        <v>6731</v>
      </c>
      <c r="G64" s="1">
        <f t="shared" ca="1" si="0"/>
        <v>25</v>
      </c>
      <c r="H64" s="3">
        <f t="shared" si="1"/>
        <v>27909</v>
      </c>
    </row>
    <row r="65" spans="1:8" x14ac:dyDescent="0.45">
      <c r="A65" s="2">
        <v>1084</v>
      </c>
      <c r="B65" s="5" t="s">
        <v>87</v>
      </c>
      <c r="C65" s="5" t="s">
        <v>573</v>
      </c>
      <c r="D65" s="5" t="s">
        <v>585</v>
      </c>
      <c r="E65" s="15">
        <v>39600</v>
      </c>
      <c r="F65" s="4">
        <v>15325</v>
      </c>
      <c r="G65" s="1">
        <f t="shared" ca="1" si="0"/>
        <v>18</v>
      </c>
      <c r="H65" s="3">
        <f t="shared" si="1"/>
        <v>30468</v>
      </c>
    </row>
    <row r="66" spans="1:8" x14ac:dyDescent="0.45">
      <c r="A66" s="2">
        <v>1401</v>
      </c>
      <c r="B66" s="5" t="s">
        <v>404</v>
      </c>
      <c r="C66" s="5" t="s">
        <v>505</v>
      </c>
      <c r="D66" s="5" t="s">
        <v>584</v>
      </c>
      <c r="E66" s="15">
        <v>43545</v>
      </c>
      <c r="F66" s="4">
        <v>8664</v>
      </c>
      <c r="G66" s="1">
        <f t="shared" ref="G66:G129" ca="1" si="2">DATEDIF(E66, TODAY(), "Y")</f>
        <v>7</v>
      </c>
      <c r="H66" s="3">
        <f t="shared" ref="H66:H129" si="3">EDATE(E66, -12*25)</f>
        <v>34414</v>
      </c>
    </row>
    <row r="67" spans="1:8" x14ac:dyDescent="0.45">
      <c r="A67" s="2">
        <v>1222</v>
      </c>
      <c r="B67" s="5" t="s">
        <v>225</v>
      </c>
      <c r="C67" s="5" t="s">
        <v>520</v>
      </c>
      <c r="D67" s="5" t="s">
        <v>593</v>
      </c>
      <c r="E67" s="15">
        <v>43703</v>
      </c>
      <c r="F67" s="4">
        <v>4348</v>
      </c>
      <c r="G67" s="1">
        <f t="shared" ca="1" si="2"/>
        <v>6</v>
      </c>
      <c r="H67" s="3">
        <f t="shared" si="3"/>
        <v>34572</v>
      </c>
    </row>
    <row r="68" spans="1:8" x14ac:dyDescent="0.45">
      <c r="A68" s="2">
        <v>1211</v>
      </c>
      <c r="B68" s="5" t="s">
        <v>214</v>
      </c>
      <c r="C68" s="5" t="s">
        <v>511</v>
      </c>
      <c r="D68" s="5" t="s">
        <v>593</v>
      </c>
      <c r="E68" s="15">
        <v>42159</v>
      </c>
      <c r="F68" s="4">
        <v>2476</v>
      </c>
      <c r="G68" s="1">
        <f t="shared" ca="1" si="2"/>
        <v>11</v>
      </c>
      <c r="H68" s="3">
        <f t="shared" si="3"/>
        <v>33028</v>
      </c>
    </row>
    <row r="69" spans="1:8" x14ac:dyDescent="0.45">
      <c r="A69" s="2">
        <v>1395</v>
      </c>
      <c r="B69" s="5" t="s">
        <v>398</v>
      </c>
      <c r="C69" s="5" t="s">
        <v>506</v>
      </c>
      <c r="D69" s="5" t="s">
        <v>584</v>
      </c>
      <c r="E69" s="15">
        <v>43098</v>
      </c>
      <c r="F69" s="4">
        <v>7800</v>
      </c>
      <c r="G69" s="1">
        <f t="shared" ca="1" si="2"/>
        <v>8</v>
      </c>
      <c r="H69" s="3">
        <f t="shared" si="3"/>
        <v>33967</v>
      </c>
    </row>
    <row r="70" spans="1:8" x14ac:dyDescent="0.45">
      <c r="A70" s="2">
        <v>1296</v>
      </c>
      <c r="B70" s="5" t="s">
        <v>299</v>
      </c>
      <c r="C70" s="5" t="s">
        <v>538</v>
      </c>
      <c r="D70" s="5" t="s">
        <v>583</v>
      </c>
      <c r="E70" s="15">
        <v>38051</v>
      </c>
      <c r="F70" s="4">
        <v>8814</v>
      </c>
      <c r="G70" s="1">
        <f t="shared" ca="1" si="2"/>
        <v>22</v>
      </c>
      <c r="H70" s="3">
        <f t="shared" si="3"/>
        <v>28919</v>
      </c>
    </row>
    <row r="71" spans="1:8" x14ac:dyDescent="0.45">
      <c r="A71" s="2">
        <v>1261</v>
      </c>
      <c r="B71" s="5" t="s">
        <v>264</v>
      </c>
      <c r="C71" s="5" t="s">
        <v>532</v>
      </c>
      <c r="D71" s="5" t="s">
        <v>587</v>
      </c>
      <c r="E71" s="15">
        <v>36800</v>
      </c>
      <c r="F71" s="4">
        <v>4348</v>
      </c>
      <c r="G71" s="1">
        <f t="shared" ca="1" si="2"/>
        <v>25</v>
      </c>
      <c r="H71" s="3">
        <f t="shared" si="3"/>
        <v>27668</v>
      </c>
    </row>
    <row r="72" spans="1:8" x14ac:dyDescent="0.45">
      <c r="A72" s="2">
        <v>1277</v>
      </c>
      <c r="B72" s="5" t="s">
        <v>280</v>
      </c>
      <c r="C72" s="5" t="s">
        <v>532</v>
      </c>
      <c r="D72" s="5" t="s">
        <v>583</v>
      </c>
      <c r="E72" s="15">
        <v>37383</v>
      </c>
      <c r="F72" s="4">
        <v>9005</v>
      </c>
      <c r="G72" s="1">
        <f t="shared" ca="1" si="2"/>
        <v>24</v>
      </c>
      <c r="H72" s="3">
        <f t="shared" si="3"/>
        <v>28252</v>
      </c>
    </row>
    <row r="73" spans="1:8" x14ac:dyDescent="0.45">
      <c r="A73" s="2">
        <v>1294</v>
      </c>
      <c r="B73" s="5" t="s">
        <v>297</v>
      </c>
      <c r="C73" s="5" t="s">
        <v>538</v>
      </c>
      <c r="D73" s="5" t="s">
        <v>583</v>
      </c>
      <c r="E73" s="15">
        <v>38045</v>
      </c>
      <c r="F73" s="4">
        <v>8696</v>
      </c>
      <c r="G73" s="1">
        <f t="shared" ca="1" si="2"/>
        <v>22</v>
      </c>
      <c r="H73" s="3">
        <f t="shared" si="3"/>
        <v>28914</v>
      </c>
    </row>
    <row r="74" spans="1:8" x14ac:dyDescent="0.45">
      <c r="A74" s="2">
        <v>1080</v>
      </c>
      <c r="B74" s="5" t="s">
        <v>83</v>
      </c>
      <c r="C74" s="5" t="s">
        <v>569</v>
      </c>
      <c r="D74" s="5" t="s">
        <v>585</v>
      </c>
      <c r="E74" s="15">
        <v>39190</v>
      </c>
      <c r="F74" s="4">
        <v>14464</v>
      </c>
      <c r="G74" s="1">
        <f t="shared" ca="1" si="2"/>
        <v>19</v>
      </c>
      <c r="H74" s="3">
        <f t="shared" si="3"/>
        <v>30059</v>
      </c>
    </row>
    <row r="75" spans="1:8" x14ac:dyDescent="0.45">
      <c r="A75" s="2">
        <v>1248</v>
      </c>
      <c r="B75" s="5" t="s">
        <v>251</v>
      </c>
      <c r="C75" s="5" t="s">
        <v>520</v>
      </c>
      <c r="D75" s="5" t="s">
        <v>587</v>
      </c>
      <c r="E75" s="15">
        <v>36643</v>
      </c>
      <c r="F75" s="4">
        <v>2319</v>
      </c>
      <c r="G75" s="1">
        <f t="shared" ca="1" si="2"/>
        <v>26</v>
      </c>
      <c r="H75" s="3">
        <f t="shared" si="3"/>
        <v>27511</v>
      </c>
    </row>
    <row r="76" spans="1:8" x14ac:dyDescent="0.45">
      <c r="A76" s="2">
        <v>1445</v>
      </c>
      <c r="B76" s="5" t="s">
        <v>448</v>
      </c>
      <c r="C76" s="5" t="s">
        <v>516</v>
      </c>
      <c r="D76" s="5" t="s">
        <v>586</v>
      </c>
      <c r="E76" s="15">
        <v>41939</v>
      </c>
      <c r="F76" s="4">
        <v>8696</v>
      </c>
      <c r="G76" s="1">
        <f t="shared" ca="1" si="2"/>
        <v>11</v>
      </c>
      <c r="H76" s="3">
        <f t="shared" si="3"/>
        <v>32808</v>
      </c>
    </row>
    <row r="77" spans="1:8" x14ac:dyDescent="0.45">
      <c r="A77" s="2">
        <v>1330</v>
      </c>
      <c r="B77" s="5" t="s">
        <v>333</v>
      </c>
      <c r="C77" s="5" t="s">
        <v>553</v>
      </c>
      <c r="D77" s="5" t="s">
        <v>596</v>
      </c>
      <c r="E77" s="15">
        <v>39982</v>
      </c>
      <c r="F77" s="4">
        <v>8015</v>
      </c>
      <c r="G77" s="1">
        <f t="shared" ca="1" si="2"/>
        <v>17</v>
      </c>
      <c r="H77" s="3">
        <f t="shared" si="3"/>
        <v>30851</v>
      </c>
    </row>
    <row r="78" spans="1:8" x14ac:dyDescent="0.45">
      <c r="A78" s="2">
        <v>1313</v>
      </c>
      <c r="B78" s="5" t="s">
        <v>316</v>
      </c>
      <c r="C78" s="5" t="s">
        <v>553</v>
      </c>
      <c r="D78" s="5" t="s">
        <v>595</v>
      </c>
      <c r="E78" s="15">
        <v>38866</v>
      </c>
      <c r="F78" s="4">
        <v>8664</v>
      </c>
      <c r="G78" s="1">
        <f t="shared" ca="1" si="2"/>
        <v>20</v>
      </c>
      <c r="H78" s="3">
        <f t="shared" si="3"/>
        <v>29735</v>
      </c>
    </row>
    <row r="79" spans="1:8" x14ac:dyDescent="0.45">
      <c r="A79" s="2">
        <v>1325</v>
      </c>
      <c r="B79" s="5" t="s">
        <v>328</v>
      </c>
      <c r="C79" s="5" t="s">
        <v>553</v>
      </c>
      <c r="D79" s="5" t="s">
        <v>595</v>
      </c>
      <c r="E79" s="15">
        <v>39676</v>
      </c>
      <c r="F79" s="4">
        <v>10109</v>
      </c>
      <c r="G79" s="1">
        <f t="shared" ca="1" si="2"/>
        <v>17</v>
      </c>
      <c r="H79" s="3">
        <f t="shared" si="3"/>
        <v>30544</v>
      </c>
    </row>
    <row r="80" spans="1:8" x14ac:dyDescent="0.45">
      <c r="A80" s="2">
        <v>1209</v>
      </c>
      <c r="B80" s="5" t="s">
        <v>212</v>
      </c>
      <c r="C80" s="5" t="s">
        <v>511</v>
      </c>
      <c r="D80" s="5" t="s">
        <v>592</v>
      </c>
      <c r="E80" s="15">
        <v>42038</v>
      </c>
      <c r="F80" s="4">
        <v>2319</v>
      </c>
      <c r="G80" s="1">
        <f t="shared" ca="1" si="2"/>
        <v>11</v>
      </c>
      <c r="H80" s="3">
        <f t="shared" si="3"/>
        <v>32907</v>
      </c>
    </row>
    <row r="81" spans="1:8" x14ac:dyDescent="0.45">
      <c r="A81" s="2">
        <v>1138</v>
      </c>
      <c r="B81" s="5" t="s">
        <v>141</v>
      </c>
      <c r="C81" s="5" t="s">
        <v>500</v>
      </c>
      <c r="D81" s="5" t="s">
        <v>584</v>
      </c>
      <c r="E81" s="15">
        <v>41839</v>
      </c>
      <c r="F81" s="4">
        <v>2923</v>
      </c>
      <c r="G81" s="1">
        <f t="shared" ca="1" si="2"/>
        <v>12</v>
      </c>
      <c r="H81" s="3">
        <f t="shared" si="3"/>
        <v>32708</v>
      </c>
    </row>
    <row r="82" spans="1:8" x14ac:dyDescent="0.45">
      <c r="A82" s="2">
        <v>1241</v>
      </c>
      <c r="B82" s="5" t="s">
        <v>244</v>
      </c>
      <c r="C82" s="5" t="s">
        <v>520</v>
      </c>
      <c r="D82" s="5" t="s">
        <v>594</v>
      </c>
      <c r="E82" s="15">
        <v>37531</v>
      </c>
      <c r="F82" s="4">
        <v>4348</v>
      </c>
      <c r="G82" s="1">
        <f t="shared" ca="1" si="2"/>
        <v>23</v>
      </c>
      <c r="H82" s="3">
        <f t="shared" si="3"/>
        <v>28400</v>
      </c>
    </row>
    <row r="83" spans="1:8" x14ac:dyDescent="0.45">
      <c r="A83" s="2">
        <v>1341</v>
      </c>
      <c r="B83" s="5" t="s">
        <v>344</v>
      </c>
      <c r="C83" s="5" t="s">
        <v>554</v>
      </c>
      <c r="D83" s="5" t="s">
        <v>596</v>
      </c>
      <c r="E83" s="15">
        <v>40259</v>
      </c>
      <c r="F83" s="4">
        <v>9005</v>
      </c>
      <c r="G83" s="1">
        <f t="shared" ca="1" si="2"/>
        <v>16</v>
      </c>
      <c r="H83" s="3">
        <f t="shared" si="3"/>
        <v>31128</v>
      </c>
    </row>
    <row r="84" spans="1:8" x14ac:dyDescent="0.45">
      <c r="A84" s="2">
        <v>1359</v>
      </c>
      <c r="B84" s="5" t="s">
        <v>362</v>
      </c>
      <c r="C84" s="5" t="s">
        <v>504</v>
      </c>
      <c r="D84" s="5" t="s">
        <v>596</v>
      </c>
      <c r="E84" s="15">
        <v>40868</v>
      </c>
      <c r="F84" s="4">
        <v>8723</v>
      </c>
      <c r="G84" s="1">
        <f t="shared" ca="1" si="2"/>
        <v>14</v>
      </c>
      <c r="H84" s="3">
        <f t="shared" si="3"/>
        <v>31737</v>
      </c>
    </row>
    <row r="85" spans="1:8" x14ac:dyDescent="0.45">
      <c r="A85" s="2">
        <v>1484</v>
      </c>
      <c r="B85" s="5" t="s">
        <v>487</v>
      </c>
      <c r="C85" s="5" t="s">
        <v>530</v>
      </c>
      <c r="D85" s="5" t="s">
        <v>583</v>
      </c>
      <c r="E85" s="15">
        <v>44727</v>
      </c>
      <c r="F85" s="4">
        <v>8015</v>
      </c>
      <c r="G85" s="1">
        <f t="shared" ca="1" si="2"/>
        <v>4</v>
      </c>
      <c r="H85" s="3">
        <f t="shared" si="3"/>
        <v>35596</v>
      </c>
    </row>
    <row r="86" spans="1:8" x14ac:dyDescent="0.45">
      <c r="A86" s="2">
        <v>1168</v>
      </c>
      <c r="B86" s="5" t="s">
        <v>171</v>
      </c>
      <c r="C86" s="5" t="s">
        <v>501</v>
      </c>
      <c r="D86" s="5" t="s">
        <v>591</v>
      </c>
      <c r="E86" s="15">
        <v>43458</v>
      </c>
      <c r="F86" s="4">
        <v>1500</v>
      </c>
      <c r="G86" s="1">
        <f t="shared" ca="1" si="2"/>
        <v>7</v>
      </c>
      <c r="H86" s="3">
        <f t="shared" si="3"/>
        <v>34327</v>
      </c>
    </row>
    <row r="87" spans="1:8" x14ac:dyDescent="0.45">
      <c r="A87" s="2">
        <v>1405</v>
      </c>
      <c r="B87" s="5" t="s">
        <v>408</v>
      </c>
      <c r="C87" s="5" t="s">
        <v>505</v>
      </c>
      <c r="D87" s="5" t="s">
        <v>584</v>
      </c>
      <c r="E87" s="15">
        <v>43865</v>
      </c>
      <c r="F87" s="4">
        <v>8814</v>
      </c>
      <c r="G87" s="1">
        <f t="shared" ca="1" si="2"/>
        <v>6</v>
      </c>
      <c r="H87" s="3">
        <f t="shared" si="3"/>
        <v>34734</v>
      </c>
    </row>
    <row r="88" spans="1:8" x14ac:dyDescent="0.45">
      <c r="A88" s="2">
        <v>1237</v>
      </c>
      <c r="B88" s="5" t="s">
        <v>240</v>
      </c>
      <c r="C88" s="5" t="s">
        <v>520</v>
      </c>
      <c r="D88" s="5" t="s">
        <v>594</v>
      </c>
      <c r="E88" s="15">
        <v>36987</v>
      </c>
      <c r="F88" s="4">
        <v>3779</v>
      </c>
      <c r="G88" s="1">
        <f t="shared" ca="1" si="2"/>
        <v>25</v>
      </c>
      <c r="H88" s="3">
        <f t="shared" si="3"/>
        <v>27856</v>
      </c>
    </row>
    <row r="89" spans="1:8" x14ac:dyDescent="0.45">
      <c r="A89" s="2">
        <v>1219</v>
      </c>
      <c r="B89" s="5" t="s">
        <v>222</v>
      </c>
      <c r="C89" s="5" t="s">
        <v>520</v>
      </c>
      <c r="D89" s="5" t="s">
        <v>593</v>
      </c>
      <c r="E89" s="15">
        <v>43458</v>
      </c>
      <c r="F89" s="4">
        <v>3839</v>
      </c>
      <c r="G89" s="1">
        <f t="shared" ca="1" si="2"/>
        <v>7</v>
      </c>
      <c r="H89" s="3">
        <f t="shared" si="3"/>
        <v>34327</v>
      </c>
    </row>
    <row r="90" spans="1:8" x14ac:dyDescent="0.45">
      <c r="A90" s="2">
        <v>1050</v>
      </c>
      <c r="B90" s="5" t="s">
        <v>53</v>
      </c>
      <c r="C90" s="5" t="s">
        <v>539</v>
      </c>
      <c r="D90" s="5" t="s">
        <v>583</v>
      </c>
      <c r="E90" s="15">
        <v>37833</v>
      </c>
      <c r="F90" s="4">
        <v>9524</v>
      </c>
      <c r="G90" s="1">
        <f t="shared" ca="1" si="2"/>
        <v>23</v>
      </c>
      <c r="H90" s="3">
        <f t="shared" si="3"/>
        <v>28702</v>
      </c>
    </row>
    <row r="91" spans="1:8" x14ac:dyDescent="0.45">
      <c r="A91" s="2">
        <v>1255</v>
      </c>
      <c r="B91" s="5" t="s">
        <v>258</v>
      </c>
      <c r="C91" s="5" t="s">
        <v>520</v>
      </c>
      <c r="D91" s="5" t="s">
        <v>587</v>
      </c>
      <c r="E91" s="15">
        <v>37040</v>
      </c>
      <c r="F91" s="4">
        <v>3332</v>
      </c>
      <c r="G91" s="1">
        <f t="shared" ca="1" si="2"/>
        <v>25</v>
      </c>
      <c r="H91" s="3">
        <f t="shared" si="3"/>
        <v>27909</v>
      </c>
    </row>
    <row r="92" spans="1:8" x14ac:dyDescent="0.45">
      <c r="A92" s="2">
        <v>1175</v>
      </c>
      <c r="B92" s="5" t="s">
        <v>178</v>
      </c>
      <c r="C92" s="5" t="s">
        <v>501</v>
      </c>
      <c r="D92" s="5" t="s">
        <v>591</v>
      </c>
      <c r="E92" s="15">
        <v>44048</v>
      </c>
      <c r="F92" s="4">
        <v>2551</v>
      </c>
      <c r="G92" s="1">
        <f t="shared" ca="1" si="2"/>
        <v>6</v>
      </c>
      <c r="H92" s="3">
        <f t="shared" si="3"/>
        <v>34916</v>
      </c>
    </row>
    <row r="93" spans="1:8" ht="15" x14ac:dyDescent="0.45">
      <c r="A93" s="2">
        <v>1069</v>
      </c>
      <c r="B93" s="6" t="s">
        <v>72</v>
      </c>
      <c r="C93" s="5" t="s">
        <v>558</v>
      </c>
      <c r="D93" s="5" t="s">
        <v>587</v>
      </c>
      <c r="E93" s="15">
        <v>38452</v>
      </c>
      <c r="F93" s="4">
        <v>12770</v>
      </c>
      <c r="G93" s="1">
        <f t="shared" ca="1" si="2"/>
        <v>21</v>
      </c>
      <c r="H93" s="3">
        <f t="shared" si="3"/>
        <v>29321</v>
      </c>
    </row>
    <row r="94" spans="1:8" x14ac:dyDescent="0.45">
      <c r="A94" s="2">
        <v>1450</v>
      </c>
      <c r="B94" s="5" t="s">
        <v>453</v>
      </c>
      <c r="C94" s="5" t="s">
        <v>517</v>
      </c>
      <c r="D94" s="5" t="s">
        <v>586</v>
      </c>
      <c r="E94" s="15">
        <v>43450</v>
      </c>
      <c r="F94" s="4">
        <v>9123</v>
      </c>
      <c r="G94" s="1">
        <f t="shared" ca="1" si="2"/>
        <v>7</v>
      </c>
      <c r="H94" s="3">
        <f t="shared" si="3"/>
        <v>34319</v>
      </c>
    </row>
    <row r="95" spans="1:8" x14ac:dyDescent="0.45">
      <c r="A95" s="2">
        <v>1105</v>
      </c>
      <c r="B95" s="5" t="s">
        <v>108</v>
      </c>
      <c r="C95" s="5" t="s">
        <v>579</v>
      </c>
      <c r="D95" s="5" t="s">
        <v>584</v>
      </c>
      <c r="E95" s="15">
        <v>40396</v>
      </c>
      <c r="F95" s="4">
        <v>10179</v>
      </c>
      <c r="G95" s="1">
        <f t="shared" ca="1" si="2"/>
        <v>16</v>
      </c>
      <c r="H95" s="3">
        <f t="shared" si="3"/>
        <v>31265</v>
      </c>
    </row>
    <row r="96" spans="1:8" x14ac:dyDescent="0.45">
      <c r="A96" s="2">
        <v>1276</v>
      </c>
      <c r="B96" s="5" t="s">
        <v>279</v>
      </c>
      <c r="C96" s="5" t="s">
        <v>532</v>
      </c>
      <c r="D96" s="5" t="s">
        <v>583</v>
      </c>
      <c r="E96" s="15">
        <v>37531</v>
      </c>
      <c r="F96" s="4">
        <v>8967</v>
      </c>
      <c r="G96" s="1">
        <f t="shared" ca="1" si="2"/>
        <v>23</v>
      </c>
      <c r="H96" s="3">
        <f t="shared" si="3"/>
        <v>28400</v>
      </c>
    </row>
    <row r="97" spans="1:8" x14ac:dyDescent="0.45">
      <c r="A97" s="2">
        <v>1085</v>
      </c>
      <c r="B97" s="5" t="s">
        <v>88</v>
      </c>
      <c r="C97" s="5" t="s">
        <v>574</v>
      </c>
      <c r="D97" s="5" t="s">
        <v>585</v>
      </c>
      <c r="E97" s="15">
        <v>39676</v>
      </c>
      <c r="F97" s="4">
        <v>15348</v>
      </c>
      <c r="G97" s="1">
        <f t="shared" ca="1" si="2"/>
        <v>17</v>
      </c>
      <c r="H97" s="3">
        <f t="shared" si="3"/>
        <v>30544</v>
      </c>
    </row>
    <row r="98" spans="1:8" x14ac:dyDescent="0.45">
      <c r="A98" s="2">
        <v>1446</v>
      </c>
      <c r="B98" s="5" t="s">
        <v>449</v>
      </c>
      <c r="C98" s="5" t="s">
        <v>516</v>
      </c>
      <c r="D98" s="5" t="s">
        <v>586</v>
      </c>
      <c r="E98" s="15">
        <v>42126</v>
      </c>
      <c r="F98" s="4">
        <v>8723</v>
      </c>
      <c r="G98" s="1">
        <f t="shared" ca="1" si="2"/>
        <v>11</v>
      </c>
      <c r="H98" s="3">
        <f t="shared" si="3"/>
        <v>32995</v>
      </c>
    </row>
    <row r="99" spans="1:8" x14ac:dyDescent="0.45">
      <c r="A99" s="2">
        <v>1234</v>
      </c>
      <c r="B99" s="5" t="s">
        <v>237</v>
      </c>
      <c r="C99" s="5" t="s">
        <v>520</v>
      </c>
      <c r="D99" s="5" t="s">
        <v>594</v>
      </c>
      <c r="E99" s="15">
        <v>37167</v>
      </c>
      <c r="F99" s="4">
        <v>3001</v>
      </c>
      <c r="G99" s="1">
        <f t="shared" ca="1" si="2"/>
        <v>24</v>
      </c>
      <c r="H99" s="3">
        <f t="shared" si="3"/>
        <v>28036</v>
      </c>
    </row>
    <row r="100" spans="1:8" x14ac:dyDescent="0.45">
      <c r="A100" s="2">
        <v>1064</v>
      </c>
      <c r="B100" s="5" t="s">
        <v>67</v>
      </c>
      <c r="C100" s="5" t="s">
        <v>553</v>
      </c>
      <c r="D100" s="5" t="s">
        <v>587</v>
      </c>
      <c r="E100" s="15">
        <v>38504</v>
      </c>
      <c r="F100" s="4">
        <v>11811</v>
      </c>
      <c r="G100" s="1">
        <f t="shared" ca="1" si="2"/>
        <v>21</v>
      </c>
      <c r="H100" s="3">
        <f t="shared" si="3"/>
        <v>29373</v>
      </c>
    </row>
    <row r="101" spans="1:8" x14ac:dyDescent="0.45">
      <c r="A101" s="2">
        <v>1238</v>
      </c>
      <c r="B101" s="5" t="s">
        <v>241</v>
      </c>
      <c r="C101" s="5" t="s">
        <v>520</v>
      </c>
      <c r="D101" s="5" t="s">
        <v>594</v>
      </c>
      <c r="E101" s="15">
        <v>37140</v>
      </c>
      <c r="F101" s="4">
        <v>3839</v>
      </c>
      <c r="G101" s="1">
        <f t="shared" ca="1" si="2"/>
        <v>24</v>
      </c>
      <c r="H101" s="3">
        <f t="shared" si="3"/>
        <v>28009</v>
      </c>
    </row>
    <row r="102" spans="1:8" x14ac:dyDescent="0.45">
      <c r="A102" s="2">
        <v>1451</v>
      </c>
      <c r="B102" s="5" t="s">
        <v>454</v>
      </c>
      <c r="C102" s="5" t="s">
        <v>517</v>
      </c>
      <c r="D102" s="5" t="s">
        <v>586</v>
      </c>
      <c r="E102" s="15">
        <v>43458</v>
      </c>
      <c r="F102" s="4">
        <v>9128</v>
      </c>
      <c r="G102" s="1">
        <f t="shared" ca="1" si="2"/>
        <v>7</v>
      </c>
      <c r="H102" s="3">
        <f t="shared" si="3"/>
        <v>34327</v>
      </c>
    </row>
    <row r="103" spans="1:8" x14ac:dyDescent="0.45">
      <c r="A103" s="2">
        <v>1357</v>
      </c>
      <c r="B103" s="5" t="s">
        <v>360</v>
      </c>
      <c r="C103" s="5" t="s">
        <v>554</v>
      </c>
      <c r="D103" s="5" t="s">
        <v>596</v>
      </c>
      <c r="E103" s="15">
        <v>40888</v>
      </c>
      <c r="F103" s="4">
        <v>8686</v>
      </c>
      <c r="G103" s="1">
        <f t="shared" ca="1" si="2"/>
        <v>14</v>
      </c>
      <c r="H103" s="3">
        <f t="shared" si="3"/>
        <v>31757</v>
      </c>
    </row>
    <row r="104" spans="1:8" x14ac:dyDescent="0.45">
      <c r="A104" s="2">
        <v>1202</v>
      </c>
      <c r="B104" s="5" t="s">
        <v>205</v>
      </c>
      <c r="C104" s="5" t="s">
        <v>511</v>
      </c>
      <c r="D104" s="5" t="s">
        <v>592</v>
      </c>
      <c r="E104" s="15">
        <v>42126</v>
      </c>
      <c r="F104" s="4">
        <v>4114</v>
      </c>
      <c r="G104" s="1">
        <f t="shared" ca="1" si="2"/>
        <v>11</v>
      </c>
      <c r="H104" s="3">
        <f t="shared" si="3"/>
        <v>32995</v>
      </c>
    </row>
    <row r="105" spans="1:8" x14ac:dyDescent="0.45">
      <c r="A105" s="2">
        <v>1042</v>
      </c>
      <c r="B105" s="5" t="s">
        <v>45</v>
      </c>
      <c r="C105" s="5" t="s">
        <v>531</v>
      </c>
      <c r="D105" s="5" t="s">
        <v>583</v>
      </c>
      <c r="E105" s="15">
        <v>37865</v>
      </c>
      <c r="F105" s="4">
        <v>8696</v>
      </c>
      <c r="G105" s="1">
        <f t="shared" ca="1" si="2"/>
        <v>22</v>
      </c>
      <c r="H105" s="3">
        <f t="shared" si="3"/>
        <v>28734</v>
      </c>
    </row>
    <row r="106" spans="1:8" x14ac:dyDescent="0.45">
      <c r="A106" s="2">
        <v>1315</v>
      </c>
      <c r="B106" s="5" t="s">
        <v>318</v>
      </c>
      <c r="C106" s="5" t="s">
        <v>553</v>
      </c>
      <c r="D106" s="5" t="s">
        <v>595</v>
      </c>
      <c r="E106" s="15">
        <v>39073</v>
      </c>
      <c r="F106" s="4">
        <v>8696</v>
      </c>
      <c r="G106" s="1">
        <f t="shared" ca="1" si="2"/>
        <v>19</v>
      </c>
      <c r="H106" s="3">
        <f t="shared" si="3"/>
        <v>29942</v>
      </c>
    </row>
    <row r="107" spans="1:8" x14ac:dyDescent="0.45">
      <c r="A107" s="2">
        <v>1328</v>
      </c>
      <c r="B107" s="5" t="s">
        <v>331</v>
      </c>
      <c r="C107" s="5" t="s">
        <v>553</v>
      </c>
      <c r="D107" s="5" t="s">
        <v>595</v>
      </c>
      <c r="E107" s="15">
        <v>40026</v>
      </c>
      <c r="F107" s="4">
        <v>7107</v>
      </c>
      <c r="G107" s="1">
        <f t="shared" ca="1" si="2"/>
        <v>17</v>
      </c>
      <c r="H107" s="3">
        <f t="shared" si="3"/>
        <v>30895</v>
      </c>
    </row>
    <row r="108" spans="1:8" x14ac:dyDescent="0.45">
      <c r="A108" s="2">
        <v>1111</v>
      </c>
      <c r="B108" s="5" t="s">
        <v>114</v>
      </c>
      <c r="C108" s="5" t="s">
        <v>495</v>
      </c>
      <c r="D108" s="5" t="s">
        <v>584</v>
      </c>
      <c r="E108" s="15">
        <v>40538</v>
      </c>
      <c r="F108" s="4">
        <v>10608</v>
      </c>
      <c r="G108" s="1">
        <f t="shared" ca="1" si="2"/>
        <v>15</v>
      </c>
      <c r="H108" s="3">
        <f t="shared" si="3"/>
        <v>31407</v>
      </c>
    </row>
    <row r="109" spans="1:8" x14ac:dyDescent="0.45">
      <c r="A109" s="2">
        <v>1273</v>
      </c>
      <c r="B109" s="5" t="s">
        <v>276</v>
      </c>
      <c r="C109" s="5" t="s">
        <v>532</v>
      </c>
      <c r="D109" s="5" t="s">
        <v>583</v>
      </c>
      <c r="E109" s="15">
        <v>37140</v>
      </c>
      <c r="F109" s="4">
        <v>8696</v>
      </c>
      <c r="G109" s="1">
        <f t="shared" ca="1" si="2"/>
        <v>24</v>
      </c>
      <c r="H109" s="3">
        <f t="shared" si="3"/>
        <v>28009</v>
      </c>
    </row>
    <row r="110" spans="1:8" x14ac:dyDescent="0.45">
      <c r="A110" s="2">
        <v>1327</v>
      </c>
      <c r="B110" s="5" t="s">
        <v>330</v>
      </c>
      <c r="C110" s="5" t="s">
        <v>553</v>
      </c>
      <c r="D110" s="5" t="s">
        <v>595</v>
      </c>
      <c r="E110" s="15">
        <v>39490</v>
      </c>
      <c r="F110" s="4">
        <v>10167</v>
      </c>
      <c r="G110" s="1">
        <f t="shared" ca="1" si="2"/>
        <v>18</v>
      </c>
      <c r="H110" s="3">
        <f t="shared" si="3"/>
        <v>30359</v>
      </c>
    </row>
    <row r="111" spans="1:8" x14ac:dyDescent="0.45">
      <c r="A111" s="2">
        <v>1324</v>
      </c>
      <c r="B111" s="5" t="s">
        <v>327</v>
      </c>
      <c r="C111" s="5" t="s">
        <v>553</v>
      </c>
      <c r="D111" s="5" t="s">
        <v>595</v>
      </c>
      <c r="E111" s="15">
        <v>39600</v>
      </c>
      <c r="F111" s="4">
        <v>9581</v>
      </c>
      <c r="G111" s="1">
        <f t="shared" ca="1" si="2"/>
        <v>18</v>
      </c>
      <c r="H111" s="3">
        <f t="shared" si="3"/>
        <v>30468</v>
      </c>
    </row>
    <row r="112" spans="1:8" x14ac:dyDescent="0.45">
      <c r="A112" s="2">
        <v>1457</v>
      </c>
      <c r="B112" s="5" t="s">
        <v>460</v>
      </c>
      <c r="C112" s="5" t="s">
        <v>517</v>
      </c>
      <c r="D112" s="5" t="s">
        <v>590</v>
      </c>
      <c r="E112" s="15">
        <v>42859</v>
      </c>
      <c r="F112" s="4">
        <v>7107</v>
      </c>
      <c r="G112" s="1">
        <f t="shared" ca="1" si="2"/>
        <v>9</v>
      </c>
      <c r="H112" s="3">
        <f t="shared" si="3"/>
        <v>33728</v>
      </c>
    </row>
    <row r="113" spans="1:8" x14ac:dyDescent="0.45">
      <c r="A113" s="2">
        <v>1363</v>
      </c>
      <c r="B113" s="5" t="s">
        <v>366</v>
      </c>
      <c r="C113" s="5" t="s">
        <v>504</v>
      </c>
      <c r="D113" s="5" t="s">
        <v>596</v>
      </c>
      <c r="E113" s="15">
        <v>41154</v>
      </c>
      <c r="F113" s="4">
        <v>9123</v>
      </c>
      <c r="G113" s="1">
        <f t="shared" ca="1" si="2"/>
        <v>13</v>
      </c>
      <c r="H113" s="3">
        <f t="shared" si="3"/>
        <v>32022</v>
      </c>
    </row>
    <row r="114" spans="1:8" x14ac:dyDescent="0.45">
      <c r="A114" s="2">
        <v>1135</v>
      </c>
      <c r="B114" s="5" t="s">
        <v>138</v>
      </c>
      <c r="C114" s="5" t="s">
        <v>492</v>
      </c>
      <c r="D114" s="5" t="s">
        <v>584</v>
      </c>
      <c r="E114" s="15">
        <v>41945</v>
      </c>
      <c r="F114" s="4">
        <v>2476</v>
      </c>
      <c r="G114" s="1">
        <f t="shared" ca="1" si="2"/>
        <v>11</v>
      </c>
      <c r="H114" s="3">
        <f t="shared" si="3"/>
        <v>32814</v>
      </c>
    </row>
    <row r="115" spans="1:8" x14ac:dyDescent="0.45">
      <c r="A115" s="2">
        <v>1053</v>
      </c>
      <c r="B115" s="5" t="s">
        <v>56</v>
      </c>
      <c r="C115" s="5" t="s">
        <v>542</v>
      </c>
      <c r="D115" s="5" t="s">
        <v>583</v>
      </c>
      <c r="E115" s="15">
        <v>38015</v>
      </c>
      <c r="F115" s="4">
        <v>10167</v>
      </c>
      <c r="G115" s="1">
        <f t="shared" ca="1" si="2"/>
        <v>22</v>
      </c>
      <c r="H115" s="3">
        <f t="shared" si="3"/>
        <v>28884</v>
      </c>
    </row>
    <row r="116" spans="1:8" x14ac:dyDescent="0.45">
      <c r="A116" s="2">
        <v>1284</v>
      </c>
      <c r="B116" s="5" t="s">
        <v>287</v>
      </c>
      <c r="C116" s="5" t="s">
        <v>553</v>
      </c>
      <c r="D116" s="5" t="s">
        <v>583</v>
      </c>
      <c r="E116" s="15">
        <v>37804</v>
      </c>
      <c r="F116" s="4">
        <v>10167</v>
      </c>
      <c r="G116" s="1">
        <f t="shared" ca="1" si="2"/>
        <v>23</v>
      </c>
      <c r="H116" s="3">
        <f t="shared" si="3"/>
        <v>28673</v>
      </c>
    </row>
    <row r="117" spans="1:8" x14ac:dyDescent="0.45">
      <c r="A117" s="2">
        <v>1337</v>
      </c>
      <c r="B117" s="5" t="s">
        <v>340</v>
      </c>
      <c r="C117" s="5" t="s">
        <v>554</v>
      </c>
      <c r="D117" s="5" t="s">
        <v>596</v>
      </c>
      <c r="E117" s="15">
        <v>40134</v>
      </c>
      <c r="F117" s="4">
        <v>8696</v>
      </c>
      <c r="G117" s="1">
        <f t="shared" ca="1" si="2"/>
        <v>16</v>
      </c>
      <c r="H117" s="3">
        <f t="shared" si="3"/>
        <v>31003</v>
      </c>
    </row>
    <row r="118" spans="1:8" x14ac:dyDescent="0.45">
      <c r="A118" s="2">
        <v>1027</v>
      </c>
      <c r="B118" s="5" t="s">
        <v>30</v>
      </c>
      <c r="C118" s="5" t="s">
        <v>516</v>
      </c>
      <c r="D118" s="5" t="s">
        <v>584</v>
      </c>
      <c r="E118" s="15">
        <v>36935</v>
      </c>
      <c r="F118" s="4">
        <v>6075</v>
      </c>
      <c r="G118" s="1">
        <f t="shared" ca="1" si="2"/>
        <v>25</v>
      </c>
      <c r="H118" s="3">
        <f t="shared" si="3"/>
        <v>27803</v>
      </c>
    </row>
    <row r="119" spans="1:8" x14ac:dyDescent="0.45">
      <c r="A119" s="2">
        <v>1193</v>
      </c>
      <c r="B119" s="5" t="s">
        <v>196</v>
      </c>
      <c r="C119" s="5" t="s">
        <v>571</v>
      </c>
      <c r="D119" s="5" t="s">
        <v>592</v>
      </c>
      <c r="E119" s="15">
        <v>45195</v>
      </c>
      <c r="F119" s="4">
        <v>2541</v>
      </c>
      <c r="G119" s="1">
        <f t="shared" ca="1" si="2"/>
        <v>2</v>
      </c>
      <c r="H119" s="3">
        <f t="shared" si="3"/>
        <v>36064</v>
      </c>
    </row>
    <row r="120" spans="1:8" x14ac:dyDescent="0.45">
      <c r="A120" s="2">
        <v>1304</v>
      </c>
      <c r="B120" s="5" t="s">
        <v>307</v>
      </c>
      <c r="C120" s="5" t="s">
        <v>538</v>
      </c>
      <c r="D120" s="5" t="s">
        <v>583</v>
      </c>
      <c r="E120" s="15">
        <v>38504</v>
      </c>
      <c r="F120" s="4">
        <v>10109</v>
      </c>
      <c r="G120" s="1">
        <f t="shared" ca="1" si="2"/>
        <v>21</v>
      </c>
      <c r="H120" s="3">
        <f t="shared" si="3"/>
        <v>29373</v>
      </c>
    </row>
    <row r="121" spans="1:8" x14ac:dyDescent="0.45">
      <c r="A121" s="2">
        <v>1482</v>
      </c>
      <c r="B121" s="5" t="s">
        <v>485</v>
      </c>
      <c r="C121" s="5" t="s">
        <v>530</v>
      </c>
      <c r="D121" s="5" t="s">
        <v>583</v>
      </c>
      <c r="E121" s="15">
        <v>44611</v>
      </c>
      <c r="F121" s="4">
        <v>8365</v>
      </c>
      <c r="G121" s="1">
        <f t="shared" ca="1" si="2"/>
        <v>4</v>
      </c>
      <c r="H121" s="3">
        <f t="shared" si="3"/>
        <v>35480</v>
      </c>
    </row>
    <row r="122" spans="1:8" ht="15" x14ac:dyDescent="0.45">
      <c r="A122" s="2">
        <v>1074</v>
      </c>
      <c r="B122" s="6" t="s">
        <v>77</v>
      </c>
      <c r="C122" s="5" t="s">
        <v>563</v>
      </c>
      <c r="D122" s="5" t="s">
        <v>585</v>
      </c>
      <c r="E122" s="15">
        <v>38971</v>
      </c>
      <c r="F122" s="4">
        <v>13454</v>
      </c>
      <c r="G122" s="1">
        <f t="shared" ca="1" si="2"/>
        <v>19</v>
      </c>
      <c r="H122" s="3">
        <f t="shared" si="3"/>
        <v>29840</v>
      </c>
    </row>
    <row r="123" spans="1:8" x14ac:dyDescent="0.45">
      <c r="A123" s="2">
        <v>1033</v>
      </c>
      <c r="B123" s="5" t="s">
        <v>36</v>
      </c>
      <c r="C123" s="5" t="s">
        <v>522</v>
      </c>
      <c r="D123" s="5" t="s">
        <v>586</v>
      </c>
      <c r="E123" s="15">
        <v>37237</v>
      </c>
      <c r="F123" s="4">
        <v>7107</v>
      </c>
      <c r="G123" s="1">
        <f t="shared" ca="1" si="2"/>
        <v>24</v>
      </c>
      <c r="H123" s="3">
        <f t="shared" si="3"/>
        <v>28106</v>
      </c>
    </row>
    <row r="124" spans="1:8" x14ac:dyDescent="0.45">
      <c r="A124" s="2">
        <v>1227</v>
      </c>
      <c r="B124" s="5" t="s">
        <v>230</v>
      </c>
      <c r="C124" s="5" t="s">
        <v>520</v>
      </c>
      <c r="D124" s="5" t="s">
        <v>593</v>
      </c>
      <c r="E124" s="15">
        <v>36579</v>
      </c>
      <c r="F124" s="4">
        <v>1712</v>
      </c>
      <c r="G124" s="1">
        <f t="shared" ca="1" si="2"/>
        <v>26</v>
      </c>
      <c r="H124" s="3">
        <f t="shared" si="3"/>
        <v>27448</v>
      </c>
    </row>
    <row r="125" spans="1:8" x14ac:dyDescent="0.45">
      <c r="A125" s="2">
        <v>1262</v>
      </c>
      <c r="B125" s="5" t="s">
        <v>265</v>
      </c>
      <c r="C125" s="5" t="s">
        <v>532</v>
      </c>
      <c r="D125" s="5" t="s">
        <v>587</v>
      </c>
      <c r="E125" s="15">
        <v>36579</v>
      </c>
      <c r="F125" s="4">
        <v>4539</v>
      </c>
      <c r="G125" s="1">
        <f t="shared" ca="1" si="2"/>
        <v>26</v>
      </c>
      <c r="H125" s="3">
        <f t="shared" si="3"/>
        <v>27448</v>
      </c>
    </row>
    <row r="126" spans="1:8" x14ac:dyDescent="0.45">
      <c r="A126" s="2">
        <v>1322</v>
      </c>
      <c r="B126" s="5" t="s">
        <v>325</v>
      </c>
      <c r="C126" s="5" t="s">
        <v>553</v>
      </c>
      <c r="D126" s="5" t="s">
        <v>595</v>
      </c>
      <c r="E126" s="15">
        <v>39231</v>
      </c>
      <c r="F126" s="4">
        <v>9521</v>
      </c>
      <c r="G126" s="1">
        <f t="shared" ca="1" si="2"/>
        <v>19</v>
      </c>
      <c r="H126" s="3">
        <f t="shared" si="3"/>
        <v>30100</v>
      </c>
    </row>
    <row r="127" spans="1:8" x14ac:dyDescent="0.45">
      <c r="A127" s="2">
        <v>1154</v>
      </c>
      <c r="B127" s="5" t="s">
        <v>157</v>
      </c>
      <c r="C127" s="5" t="s">
        <v>500</v>
      </c>
      <c r="D127" s="5" t="s">
        <v>590</v>
      </c>
      <c r="E127" s="15">
        <v>42727</v>
      </c>
      <c r="F127" s="4">
        <v>2476</v>
      </c>
      <c r="G127" s="1">
        <f t="shared" ca="1" si="2"/>
        <v>9</v>
      </c>
      <c r="H127" s="3">
        <f t="shared" si="3"/>
        <v>33595</v>
      </c>
    </row>
    <row r="128" spans="1:8" x14ac:dyDescent="0.45">
      <c r="A128" s="2">
        <v>1423</v>
      </c>
      <c r="B128" s="5" t="s">
        <v>426</v>
      </c>
      <c r="C128" s="5" t="s">
        <v>507</v>
      </c>
      <c r="D128" s="5" t="s">
        <v>586</v>
      </c>
      <c r="E128" s="15">
        <v>45005</v>
      </c>
      <c r="F128" s="4">
        <v>8686</v>
      </c>
      <c r="G128" s="1">
        <f t="shared" ca="1" si="2"/>
        <v>3</v>
      </c>
      <c r="H128" s="3">
        <f t="shared" si="3"/>
        <v>35874</v>
      </c>
    </row>
    <row r="129" spans="1:8" x14ac:dyDescent="0.45">
      <c r="A129" s="2">
        <v>1102</v>
      </c>
      <c r="B129" s="5" t="s">
        <v>105</v>
      </c>
      <c r="C129" s="5" t="s">
        <v>491</v>
      </c>
      <c r="D129" s="5" t="s">
        <v>584</v>
      </c>
      <c r="E129" s="15">
        <v>40394</v>
      </c>
      <c r="F129" s="4">
        <v>9581</v>
      </c>
      <c r="G129" s="1">
        <f t="shared" ca="1" si="2"/>
        <v>16</v>
      </c>
      <c r="H129" s="3">
        <f t="shared" si="3"/>
        <v>31263</v>
      </c>
    </row>
    <row r="130" spans="1:8" x14ac:dyDescent="0.45">
      <c r="A130" s="2">
        <v>1326</v>
      </c>
      <c r="B130" s="5" t="s">
        <v>329</v>
      </c>
      <c r="C130" s="5" t="s">
        <v>553</v>
      </c>
      <c r="D130" s="5" t="s">
        <v>595</v>
      </c>
      <c r="E130" s="15">
        <v>39459</v>
      </c>
      <c r="F130" s="4">
        <v>10167</v>
      </c>
      <c r="G130" s="1">
        <f t="shared" ref="G130:G193" ca="1" si="4">DATEDIF(E130, TODAY(), "Y")</f>
        <v>18</v>
      </c>
      <c r="H130" s="3">
        <f t="shared" ref="H130:H193" si="5">EDATE(E130, -12*25)</f>
        <v>30328</v>
      </c>
    </row>
    <row r="131" spans="1:8" x14ac:dyDescent="0.45">
      <c r="A131" s="2">
        <v>1079</v>
      </c>
      <c r="B131" s="5" t="s">
        <v>82</v>
      </c>
      <c r="C131" s="5" t="s">
        <v>568</v>
      </c>
      <c r="D131" s="5" t="s">
        <v>585</v>
      </c>
      <c r="E131" s="15">
        <v>39172</v>
      </c>
      <c r="F131" s="4">
        <v>13955</v>
      </c>
      <c r="G131" s="1">
        <f t="shared" ca="1" si="4"/>
        <v>19</v>
      </c>
      <c r="H131" s="3">
        <f t="shared" si="5"/>
        <v>30041</v>
      </c>
    </row>
    <row r="132" spans="1:8" x14ac:dyDescent="0.45">
      <c r="A132" s="2">
        <v>1229</v>
      </c>
      <c r="B132" s="5" t="s">
        <v>232</v>
      </c>
      <c r="C132" s="5" t="s">
        <v>520</v>
      </c>
      <c r="D132" s="5" t="s">
        <v>593</v>
      </c>
      <c r="E132" s="15">
        <v>36643</v>
      </c>
      <c r="F132" s="4">
        <v>2369</v>
      </c>
      <c r="G132" s="1">
        <f t="shared" ca="1" si="4"/>
        <v>26</v>
      </c>
      <c r="H132" s="3">
        <f t="shared" si="5"/>
        <v>27511</v>
      </c>
    </row>
    <row r="133" spans="1:8" x14ac:dyDescent="0.45">
      <c r="A133" s="2">
        <v>1089</v>
      </c>
      <c r="B133" s="5" t="s">
        <v>92</v>
      </c>
      <c r="C133" s="5" t="s">
        <v>578</v>
      </c>
      <c r="D133" s="5" t="s">
        <v>585</v>
      </c>
      <c r="E133" s="15">
        <v>39958</v>
      </c>
      <c r="F133" s="4">
        <v>16535</v>
      </c>
      <c r="G133" s="1">
        <f t="shared" ca="1" si="4"/>
        <v>17</v>
      </c>
      <c r="H133" s="3">
        <f t="shared" si="5"/>
        <v>30827</v>
      </c>
    </row>
    <row r="134" spans="1:8" x14ac:dyDescent="0.45">
      <c r="A134" s="2">
        <v>1351</v>
      </c>
      <c r="B134" s="5" t="s">
        <v>354</v>
      </c>
      <c r="C134" s="5" t="s">
        <v>554</v>
      </c>
      <c r="D134" s="5" t="s">
        <v>596</v>
      </c>
      <c r="E134" s="15">
        <v>40538</v>
      </c>
      <c r="F134" s="4">
        <v>8015</v>
      </c>
      <c r="G134" s="1">
        <f t="shared" ca="1" si="4"/>
        <v>15</v>
      </c>
      <c r="H134" s="3">
        <f t="shared" si="5"/>
        <v>31407</v>
      </c>
    </row>
    <row r="135" spans="1:8" x14ac:dyDescent="0.45">
      <c r="A135" s="2">
        <v>1467</v>
      </c>
      <c r="B135" s="5" t="s">
        <v>470</v>
      </c>
      <c r="C135" s="5" t="s">
        <v>518</v>
      </c>
      <c r="D135" s="5" t="s">
        <v>590</v>
      </c>
      <c r="E135" s="15">
        <v>43545</v>
      </c>
      <c r="F135" s="4">
        <v>8723</v>
      </c>
      <c r="G135" s="1">
        <f t="shared" ca="1" si="4"/>
        <v>7</v>
      </c>
      <c r="H135" s="3">
        <f t="shared" si="5"/>
        <v>34414</v>
      </c>
    </row>
    <row r="136" spans="1:8" x14ac:dyDescent="0.45">
      <c r="A136" s="2">
        <v>1179</v>
      </c>
      <c r="B136" s="5" t="s">
        <v>182</v>
      </c>
      <c r="C136" s="5" t="s">
        <v>501</v>
      </c>
      <c r="D136" s="5" t="s">
        <v>591</v>
      </c>
      <c r="E136" s="15">
        <v>44194</v>
      </c>
      <c r="F136" s="4">
        <v>3668</v>
      </c>
      <c r="G136" s="1">
        <f t="shared" ca="1" si="4"/>
        <v>5</v>
      </c>
      <c r="H136" s="3">
        <f t="shared" si="5"/>
        <v>35062</v>
      </c>
    </row>
    <row r="137" spans="1:8" x14ac:dyDescent="0.45">
      <c r="A137" s="2">
        <v>1166</v>
      </c>
      <c r="B137" s="5" t="s">
        <v>169</v>
      </c>
      <c r="C137" s="5" t="s">
        <v>501</v>
      </c>
      <c r="D137" s="5" t="s">
        <v>591</v>
      </c>
      <c r="E137" s="15">
        <v>43324</v>
      </c>
      <c r="F137" s="4">
        <v>4539</v>
      </c>
      <c r="G137" s="1">
        <f t="shared" ca="1" si="4"/>
        <v>8</v>
      </c>
      <c r="H137" s="3">
        <f t="shared" si="5"/>
        <v>34193</v>
      </c>
    </row>
    <row r="138" spans="1:8" x14ac:dyDescent="0.45">
      <c r="A138" s="2">
        <v>1169</v>
      </c>
      <c r="B138" s="5" t="s">
        <v>172</v>
      </c>
      <c r="C138" s="5" t="s">
        <v>501</v>
      </c>
      <c r="D138" s="5" t="s">
        <v>591</v>
      </c>
      <c r="E138" s="15">
        <v>43545</v>
      </c>
      <c r="F138" s="4">
        <v>2000</v>
      </c>
      <c r="G138" s="1">
        <f t="shared" ca="1" si="4"/>
        <v>7</v>
      </c>
      <c r="H138" s="3">
        <f t="shared" si="5"/>
        <v>34414</v>
      </c>
    </row>
    <row r="139" spans="1:8" x14ac:dyDescent="0.45">
      <c r="A139" s="2">
        <v>1046</v>
      </c>
      <c r="B139" s="5" t="s">
        <v>49</v>
      </c>
      <c r="C139" s="5" t="s">
        <v>535</v>
      </c>
      <c r="D139" s="5" t="s">
        <v>583</v>
      </c>
      <c r="E139" s="15">
        <v>37867</v>
      </c>
      <c r="F139" s="4">
        <v>9005</v>
      </c>
      <c r="G139" s="1">
        <f t="shared" ca="1" si="4"/>
        <v>22</v>
      </c>
      <c r="H139" s="3">
        <f t="shared" si="5"/>
        <v>28736</v>
      </c>
    </row>
    <row r="140" spans="1:8" x14ac:dyDescent="0.45">
      <c r="A140" s="2">
        <v>1300</v>
      </c>
      <c r="B140" s="5" t="s">
        <v>303</v>
      </c>
      <c r="C140" s="5" t="s">
        <v>538</v>
      </c>
      <c r="D140" s="5" t="s">
        <v>583</v>
      </c>
      <c r="E140" s="15">
        <v>38240</v>
      </c>
      <c r="F140" s="4">
        <v>9128</v>
      </c>
      <c r="G140" s="1">
        <f t="shared" ca="1" si="4"/>
        <v>21</v>
      </c>
      <c r="H140" s="3">
        <f t="shared" si="5"/>
        <v>29108</v>
      </c>
    </row>
    <row r="141" spans="1:8" x14ac:dyDescent="0.45">
      <c r="A141" s="2">
        <v>1052</v>
      </c>
      <c r="B141" s="5" t="s">
        <v>55</v>
      </c>
      <c r="C141" s="5" t="s">
        <v>541</v>
      </c>
      <c r="D141" s="5" t="s">
        <v>583</v>
      </c>
      <c r="E141" s="15">
        <v>37950</v>
      </c>
      <c r="F141" s="4">
        <v>10109</v>
      </c>
      <c r="G141" s="1">
        <f t="shared" ca="1" si="4"/>
        <v>22</v>
      </c>
      <c r="H141" s="3">
        <f t="shared" si="5"/>
        <v>28819</v>
      </c>
    </row>
    <row r="142" spans="1:8" x14ac:dyDescent="0.45">
      <c r="A142" s="2">
        <v>1205</v>
      </c>
      <c r="B142" s="5" t="s">
        <v>208</v>
      </c>
      <c r="C142" s="5" t="s">
        <v>511</v>
      </c>
      <c r="D142" s="5" t="s">
        <v>592</v>
      </c>
      <c r="E142" s="15">
        <v>42159</v>
      </c>
      <c r="F142" s="4">
        <v>4570</v>
      </c>
      <c r="G142" s="1">
        <f t="shared" ca="1" si="4"/>
        <v>11</v>
      </c>
      <c r="H142" s="3">
        <f t="shared" si="5"/>
        <v>33028</v>
      </c>
    </row>
    <row r="143" spans="1:8" x14ac:dyDescent="0.45">
      <c r="A143" s="2">
        <v>1413</v>
      </c>
      <c r="B143" s="5" t="s">
        <v>416</v>
      </c>
      <c r="C143" s="5" t="s">
        <v>505</v>
      </c>
      <c r="D143" s="5" t="s">
        <v>584</v>
      </c>
      <c r="E143" s="15">
        <v>44479</v>
      </c>
      <c r="F143" s="4">
        <v>10109</v>
      </c>
      <c r="G143" s="1">
        <f t="shared" ca="1" si="4"/>
        <v>4</v>
      </c>
      <c r="H143" s="3">
        <f t="shared" si="5"/>
        <v>35348</v>
      </c>
    </row>
    <row r="144" spans="1:8" x14ac:dyDescent="0.45">
      <c r="A144" s="2">
        <v>1231</v>
      </c>
      <c r="B144" s="5" t="s">
        <v>234</v>
      </c>
      <c r="C144" s="5" t="s">
        <v>520</v>
      </c>
      <c r="D144" s="5" t="s">
        <v>594</v>
      </c>
      <c r="E144" s="15">
        <v>36845</v>
      </c>
      <c r="F144" s="4">
        <v>2541</v>
      </c>
      <c r="G144" s="1">
        <f t="shared" ca="1" si="4"/>
        <v>25</v>
      </c>
      <c r="H144" s="3">
        <f t="shared" si="5"/>
        <v>27713</v>
      </c>
    </row>
    <row r="145" spans="1:8" x14ac:dyDescent="0.45">
      <c r="A145" s="2">
        <v>1263</v>
      </c>
      <c r="B145" s="5" t="s">
        <v>266</v>
      </c>
      <c r="C145" s="5" t="s">
        <v>532</v>
      </c>
      <c r="D145" s="5" t="s">
        <v>587</v>
      </c>
      <c r="E145" s="15">
        <v>36632</v>
      </c>
      <c r="F145" s="4">
        <v>4570</v>
      </c>
      <c r="G145" s="1">
        <f t="shared" ca="1" si="4"/>
        <v>26</v>
      </c>
      <c r="H145" s="3">
        <f t="shared" si="5"/>
        <v>27500</v>
      </c>
    </row>
    <row r="146" spans="1:8" x14ac:dyDescent="0.45">
      <c r="A146" s="2">
        <v>1388</v>
      </c>
      <c r="B146" s="5" t="s">
        <v>391</v>
      </c>
      <c r="C146" s="5" t="s">
        <v>527</v>
      </c>
      <c r="D146" s="5" t="s">
        <v>584</v>
      </c>
      <c r="E146" s="15">
        <v>42750</v>
      </c>
      <c r="F146" s="4">
        <v>9524</v>
      </c>
      <c r="G146" s="1">
        <f t="shared" ca="1" si="4"/>
        <v>9</v>
      </c>
      <c r="H146" s="3">
        <f t="shared" si="5"/>
        <v>33618</v>
      </c>
    </row>
    <row r="147" spans="1:8" x14ac:dyDescent="0.45">
      <c r="A147" s="2">
        <v>1394</v>
      </c>
      <c r="B147" s="5" t="s">
        <v>397</v>
      </c>
      <c r="C147" s="5" t="s">
        <v>506</v>
      </c>
      <c r="D147" s="5" t="s">
        <v>584</v>
      </c>
      <c r="E147" s="15">
        <v>43069</v>
      </c>
      <c r="F147" s="4">
        <v>7107</v>
      </c>
      <c r="G147" s="1">
        <f t="shared" ca="1" si="4"/>
        <v>8</v>
      </c>
      <c r="H147" s="3">
        <f t="shared" si="5"/>
        <v>33938</v>
      </c>
    </row>
    <row r="148" spans="1:8" x14ac:dyDescent="0.45">
      <c r="A148" s="2">
        <v>1177</v>
      </c>
      <c r="B148" s="5" t="s">
        <v>180</v>
      </c>
      <c r="C148" s="5" t="s">
        <v>501</v>
      </c>
      <c r="D148" s="5" t="s">
        <v>591</v>
      </c>
      <c r="E148" s="15">
        <v>44112</v>
      </c>
      <c r="F148" s="4">
        <v>3001</v>
      </c>
      <c r="G148" s="1">
        <f t="shared" ca="1" si="4"/>
        <v>5</v>
      </c>
      <c r="H148" s="3">
        <f t="shared" si="5"/>
        <v>34980</v>
      </c>
    </row>
    <row r="149" spans="1:8" x14ac:dyDescent="0.45">
      <c r="A149" s="2">
        <v>1278</v>
      </c>
      <c r="B149" s="5" t="s">
        <v>281</v>
      </c>
      <c r="C149" s="5" t="s">
        <v>532</v>
      </c>
      <c r="D149" s="5" t="s">
        <v>583</v>
      </c>
      <c r="E149" s="15">
        <v>37445</v>
      </c>
      <c r="F149" s="4">
        <v>9123</v>
      </c>
      <c r="G149" s="1">
        <f t="shared" ca="1" si="4"/>
        <v>24</v>
      </c>
      <c r="H149" s="3">
        <f t="shared" si="5"/>
        <v>28314</v>
      </c>
    </row>
    <row r="150" spans="1:8" x14ac:dyDescent="0.45">
      <c r="A150" s="2">
        <v>1196</v>
      </c>
      <c r="B150" s="5" t="s">
        <v>199</v>
      </c>
      <c r="C150" s="5" t="s">
        <v>571</v>
      </c>
      <c r="D150" s="5" t="s">
        <v>592</v>
      </c>
      <c r="E150" s="15">
        <v>45277</v>
      </c>
      <c r="F150" s="4">
        <v>3001</v>
      </c>
      <c r="G150" s="1">
        <f t="shared" ca="1" si="4"/>
        <v>2</v>
      </c>
      <c r="H150" s="3">
        <f t="shared" si="5"/>
        <v>36146</v>
      </c>
    </row>
    <row r="151" spans="1:8" x14ac:dyDescent="0.45">
      <c r="A151" s="2">
        <v>1014</v>
      </c>
      <c r="B151" s="5" t="s">
        <v>17</v>
      </c>
      <c r="C151" s="5" t="s">
        <v>503</v>
      </c>
      <c r="D151" s="5" t="s">
        <v>585</v>
      </c>
      <c r="E151" s="15">
        <v>37237</v>
      </c>
      <c r="F151" s="4">
        <v>3839</v>
      </c>
      <c r="G151" s="1">
        <f t="shared" ca="1" si="4"/>
        <v>24</v>
      </c>
      <c r="H151" s="3">
        <f t="shared" si="5"/>
        <v>28106</v>
      </c>
    </row>
    <row r="152" spans="1:8" x14ac:dyDescent="0.45">
      <c r="A152" s="2">
        <v>1377</v>
      </c>
      <c r="B152" s="5" t="s">
        <v>380</v>
      </c>
      <c r="C152" s="5" t="s">
        <v>529</v>
      </c>
      <c r="D152" s="5" t="s">
        <v>584</v>
      </c>
      <c r="E152" s="15">
        <v>41836</v>
      </c>
      <c r="F152" s="4">
        <v>8555</v>
      </c>
      <c r="G152" s="1">
        <f t="shared" ca="1" si="4"/>
        <v>12</v>
      </c>
      <c r="H152" s="3">
        <f t="shared" si="5"/>
        <v>32705</v>
      </c>
    </row>
    <row r="153" spans="1:8" x14ac:dyDescent="0.45">
      <c r="A153" s="2">
        <v>1453</v>
      </c>
      <c r="B153" s="5" t="s">
        <v>456</v>
      </c>
      <c r="C153" s="5" t="s">
        <v>517</v>
      </c>
      <c r="D153" s="5" t="s">
        <v>586</v>
      </c>
      <c r="E153" s="15">
        <v>42917</v>
      </c>
      <c r="F153" s="4">
        <v>9524</v>
      </c>
      <c r="G153" s="1">
        <f t="shared" ca="1" si="4"/>
        <v>9</v>
      </c>
      <c r="H153" s="3">
        <f t="shared" si="5"/>
        <v>33786</v>
      </c>
    </row>
    <row r="154" spans="1:8" x14ac:dyDescent="0.45">
      <c r="A154" s="2">
        <v>1029</v>
      </c>
      <c r="B154" s="5" t="s">
        <v>32</v>
      </c>
      <c r="C154" s="5" t="s">
        <v>518</v>
      </c>
      <c r="D154" s="5" t="s">
        <v>586</v>
      </c>
      <c r="E154" s="15">
        <v>36955</v>
      </c>
      <c r="F154" s="4">
        <v>6594</v>
      </c>
      <c r="G154" s="1">
        <f t="shared" ca="1" si="4"/>
        <v>25</v>
      </c>
      <c r="H154" s="3">
        <f t="shared" si="5"/>
        <v>27824</v>
      </c>
    </row>
    <row r="155" spans="1:8" x14ac:dyDescent="0.45">
      <c r="A155" s="2">
        <v>1429</v>
      </c>
      <c r="B155" s="5" t="s">
        <v>432</v>
      </c>
      <c r="C155" s="5" t="s">
        <v>507</v>
      </c>
      <c r="D155" s="5" t="s">
        <v>586</v>
      </c>
      <c r="E155" s="15">
        <v>45311</v>
      </c>
      <c r="F155" s="4">
        <v>9123</v>
      </c>
      <c r="G155" s="1">
        <f t="shared" ca="1" si="4"/>
        <v>2</v>
      </c>
      <c r="H155" s="3">
        <f t="shared" si="5"/>
        <v>36180</v>
      </c>
    </row>
    <row r="156" spans="1:8" x14ac:dyDescent="0.45">
      <c r="A156" s="2">
        <v>1365</v>
      </c>
      <c r="B156" s="5" t="s">
        <v>368</v>
      </c>
      <c r="C156" s="5" t="s">
        <v>504</v>
      </c>
      <c r="D156" s="5" t="s">
        <v>596</v>
      </c>
      <c r="E156" s="15">
        <v>41078</v>
      </c>
      <c r="F156" s="4">
        <v>9521</v>
      </c>
      <c r="G156" s="1">
        <f t="shared" ca="1" si="4"/>
        <v>14</v>
      </c>
      <c r="H156" s="3">
        <f t="shared" si="5"/>
        <v>31946</v>
      </c>
    </row>
    <row r="157" spans="1:8" x14ac:dyDescent="0.45">
      <c r="A157" s="2">
        <v>1200</v>
      </c>
      <c r="B157" s="5" t="s">
        <v>203</v>
      </c>
      <c r="C157" s="5" t="s">
        <v>511</v>
      </c>
      <c r="D157" s="5" t="s">
        <v>592</v>
      </c>
      <c r="E157" s="15">
        <v>41839</v>
      </c>
      <c r="F157" s="4">
        <v>3839</v>
      </c>
      <c r="G157" s="1">
        <f t="shared" ca="1" si="4"/>
        <v>12</v>
      </c>
      <c r="H157" s="3">
        <f t="shared" si="5"/>
        <v>32708</v>
      </c>
    </row>
    <row r="158" spans="1:8" x14ac:dyDescent="0.45">
      <c r="A158" s="2">
        <v>1217</v>
      </c>
      <c r="B158" s="5" t="s">
        <v>220</v>
      </c>
      <c r="C158" s="5" t="s">
        <v>511</v>
      </c>
      <c r="D158" s="5" t="s">
        <v>593</v>
      </c>
      <c r="E158" s="15">
        <v>42159</v>
      </c>
      <c r="F158" s="4">
        <v>3668</v>
      </c>
      <c r="G158" s="1">
        <f t="shared" ca="1" si="4"/>
        <v>11</v>
      </c>
      <c r="H158" s="3">
        <f t="shared" si="5"/>
        <v>33028</v>
      </c>
    </row>
    <row r="159" spans="1:8" ht="15" x14ac:dyDescent="0.45">
      <c r="A159" s="2">
        <v>1067</v>
      </c>
      <c r="B159" s="6" t="s">
        <v>70</v>
      </c>
      <c r="C159" s="5" t="s">
        <v>556</v>
      </c>
      <c r="D159" s="5" t="s">
        <v>587</v>
      </c>
      <c r="E159" s="15">
        <v>38541</v>
      </c>
      <c r="F159" s="4">
        <v>12529</v>
      </c>
      <c r="G159" s="1">
        <f t="shared" ca="1" si="4"/>
        <v>21</v>
      </c>
      <c r="H159" s="3">
        <f t="shared" si="5"/>
        <v>29410</v>
      </c>
    </row>
    <row r="160" spans="1:8" x14ac:dyDescent="0.45">
      <c r="A160" s="2">
        <v>1417</v>
      </c>
      <c r="B160" s="5" t="s">
        <v>420</v>
      </c>
      <c r="C160" s="5" t="s">
        <v>505</v>
      </c>
      <c r="D160" s="5" t="s">
        <v>584</v>
      </c>
      <c r="E160" s="15">
        <v>44705</v>
      </c>
      <c r="F160" s="4">
        <v>8015</v>
      </c>
      <c r="G160" s="1">
        <f t="shared" ca="1" si="4"/>
        <v>4</v>
      </c>
      <c r="H160" s="3">
        <f t="shared" si="5"/>
        <v>35574</v>
      </c>
    </row>
    <row r="161" spans="1:8" x14ac:dyDescent="0.45">
      <c r="A161" s="2">
        <v>1189</v>
      </c>
      <c r="B161" s="5" t="s">
        <v>192</v>
      </c>
      <c r="C161" s="5" t="s">
        <v>571</v>
      </c>
      <c r="D161" s="5" t="s">
        <v>591</v>
      </c>
      <c r="E161" s="15">
        <v>44815</v>
      </c>
      <c r="F161" s="4">
        <v>1712</v>
      </c>
      <c r="G161" s="1">
        <f t="shared" ca="1" si="4"/>
        <v>3</v>
      </c>
      <c r="H161" s="3">
        <f t="shared" si="5"/>
        <v>35684</v>
      </c>
    </row>
    <row r="162" spans="1:8" x14ac:dyDescent="0.45">
      <c r="A162" s="2">
        <v>1410</v>
      </c>
      <c r="B162" s="5" t="s">
        <v>413</v>
      </c>
      <c r="C162" s="5" t="s">
        <v>505</v>
      </c>
      <c r="D162" s="5" t="s">
        <v>584</v>
      </c>
      <c r="E162" s="15">
        <v>44099</v>
      </c>
      <c r="F162" s="4">
        <v>9521</v>
      </c>
      <c r="G162" s="1">
        <f t="shared" ca="1" si="4"/>
        <v>5</v>
      </c>
      <c r="H162" s="3">
        <f t="shared" si="5"/>
        <v>34967</v>
      </c>
    </row>
    <row r="163" spans="1:8" ht="15" x14ac:dyDescent="0.45">
      <c r="A163" s="2">
        <v>1075</v>
      </c>
      <c r="B163" s="6" t="s">
        <v>78</v>
      </c>
      <c r="C163" s="5" t="s">
        <v>564</v>
      </c>
      <c r="D163" s="5" t="s">
        <v>585</v>
      </c>
      <c r="E163" s="15">
        <v>39073</v>
      </c>
      <c r="F163" s="4">
        <v>13630</v>
      </c>
      <c r="G163" s="1">
        <f t="shared" ca="1" si="4"/>
        <v>19</v>
      </c>
      <c r="H163" s="3">
        <f t="shared" si="5"/>
        <v>29942</v>
      </c>
    </row>
    <row r="164" spans="1:8" x14ac:dyDescent="0.45">
      <c r="A164" s="2">
        <v>1384</v>
      </c>
      <c r="B164" s="5" t="s">
        <v>387</v>
      </c>
      <c r="C164" s="5" t="s">
        <v>529</v>
      </c>
      <c r="D164" s="5" t="s">
        <v>584</v>
      </c>
      <c r="E164" s="15">
        <v>42161</v>
      </c>
      <c r="F164" s="4">
        <v>9005</v>
      </c>
      <c r="G164" s="1">
        <f t="shared" ca="1" si="4"/>
        <v>11</v>
      </c>
      <c r="H164" s="3">
        <f t="shared" si="5"/>
        <v>33030</v>
      </c>
    </row>
    <row r="165" spans="1:8" x14ac:dyDescent="0.45">
      <c r="A165" s="2">
        <v>1473</v>
      </c>
      <c r="B165" s="5" t="s">
        <v>476</v>
      </c>
      <c r="C165" s="5" t="s">
        <v>519</v>
      </c>
      <c r="D165" s="5" t="s">
        <v>590</v>
      </c>
      <c r="E165" s="15">
        <v>44048</v>
      </c>
      <c r="F165" s="4">
        <v>9521</v>
      </c>
      <c r="G165" s="1">
        <f t="shared" ca="1" si="4"/>
        <v>6</v>
      </c>
      <c r="H165" s="3">
        <f t="shared" si="5"/>
        <v>34916</v>
      </c>
    </row>
    <row r="166" spans="1:8" x14ac:dyDescent="0.45">
      <c r="A166" s="2">
        <v>1344</v>
      </c>
      <c r="B166" s="5" t="s">
        <v>347</v>
      </c>
      <c r="C166" s="5" t="s">
        <v>554</v>
      </c>
      <c r="D166" s="5" t="s">
        <v>596</v>
      </c>
      <c r="E166" s="15">
        <v>40296</v>
      </c>
      <c r="F166" s="4">
        <v>9521</v>
      </c>
      <c r="G166" s="1">
        <f t="shared" ca="1" si="4"/>
        <v>16</v>
      </c>
      <c r="H166" s="3">
        <f t="shared" si="5"/>
        <v>31165</v>
      </c>
    </row>
    <row r="167" spans="1:8" x14ac:dyDescent="0.45">
      <c r="A167" s="2">
        <v>1275</v>
      </c>
      <c r="B167" s="5" t="s">
        <v>278</v>
      </c>
      <c r="C167" s="5" t="s">
        <v>532</v>
      </c>
      <c r="D167" s="5" t="s">
        <v>583</v>
      </c>
      <c r="E167" s="15">
        <v>37276</v>
      </c>
      <c r="F167" s="4">
        <v>8814</v>
      </c>
      <c r="G167" s="1">
        <f t="shared" ca="1" si="4"/>
        <v>24</v>
      </c>
      <c r="H167" s="3">
        <f t="shared" si="5"/>
        <v>28145</v>
      </c>
    </row>
    <row r="168" spans="1:8" x14ac:dyDescent="0.45">
      <c r="A168" s="2">
        <v>1258</v>
      </c>
      <c r="B168" s="5" t="s">
        <v>261</v>
      </c>
      <c r="C168" s="5" t="s">
        <v>532</v>
      </c>
      <c r="D168" s="5" t="s">
        <v>587</v>
      </c>
      <c r="E168" s="15">
        <v>37383</v>
      </c>
      <c r="F168" s="4">
        <v>3839</v>
      </c>
      <c r="G168" s="1">
        <f t="shared" ca="1" si="4"/>
        <v>24</v>
      </c>
      <c r="H168" s="3">
        <f t="shared" si="5"/>
        <v>28252</v>
      </c>
    </row>
    <row r="169" spans="1:8" x14ac:dyDescent="0.45">
      <c r="A169" s="2">
        <v>1358</v>
      </c>
      <c r="B169" s="5" t="s">
        <v>361</v>
      </c>
      <c r="C169" s="5" t="s">
        <v>504</v>
      </c>
      <c r="D169" s="5" t="s">
        <v>596</v>
      </c>
      <c r="E169" s="15">
        <v>40865</v>
      </c>
      <c r="F169" s="4">
        <v>8696</v>
      </c>
      <c r="G169" s="1">
        <f t="shared" ca="1" si="4"/>
        <v>14</v>
      </c>
      <c r="H169" s="3">
        <f t="shared" si="5"/>
        <v>31734</v>
      </c>
    </row>
    <row r="170" spans="1:8" x14ac:dyDescent="0.45">
      <c r="A170" s="2">
        <v>1444</v>
      </c>
      <c r="B170" s="5" t="s">
        <v>447</v>
      </c>
      <c r="C170" s="5" t="s">
        <v>516</v>
      </c>
      <c r="D170" s="5" t="s">
        <v>586</v>
      </c>
      <c r="E170" s="15">
        <v>41839</v>
      </c>
      <c r="F170" s="4">
        <v>8686</v>
      </c>
      <c r="G170" s="1">
        <f t="shared" ca="1" si="4"/>
        <v>12</v>
      </c>
      <c r="H170" s="3">
        <f t="shared" si="5"/>
        <v>32708</v>
      </c>
    </row>
    <row r="171" spans="1:8" x14ac:dyDescent="0.45">
      <c r="A171" s="2">
        <v>1152</v>
      </c>
      <c r="B171" s="5" t="s">
        <v>155</v>
      </c>
      <c r="C171" s="5" t="s">
        <v>500</v>
      </c>
      <c r="D171" s="5" t="s">
        <v>590</v>
      </c>
      <c r="E171" s="15">
        <v>42379</v>
      </c>
      <c r="F171" s="4">
        <v>2319</v>
      </c>
      <c r="G171" s="1">
        <f t="shared" ca="1" si="4"/>
        <v>10</v>
      </c>
      <c r="H171" s="3">
        <f t="shared" si="5"/>
        <v>33248</v>
      </c>
    </row>
    <row r="172" spans="1:8" x14ac:dyDescent="0.45">
      <c r="A172" s="2">
        <v>1303</v>
      </c>
      <c r="B172" s="5" t="s">
        <v>306</v>
      </c>
      <c r="C172" s="5" t="s">
        <v>538</v>
      </c>
      <c r="D172" s="5" t="s">
        <v>583</v>
      </c>
      <c r="E172" s="15">
        <v>38353</v>
      </c>
      <c r="F172" s="4">
        <v>9581</v>
      </c>
      <c r="G172" s="1">
        <f t="shared" ca="1" si="4"/>
        <v>21</v>
      </c>
      <c r="H172" s="3">
        <f t="shared" si="5"/>
        <v>29221</v>
      </c>
    </row>
    <row r="173" spans="1:8" x14ac:dyDescent="0.45">
      <c r="A173" s="2">
        <v>1338</v>
      </c>
      <c r="B173" s="5" t="s">
        <v>341</v>
      </c>
      <c r="C173" s="5" t="s">
        <v>554</v>
      </c>
      <c r="D173" s="5" t="s">
        <v>596</v>
      </c>
      <c r="E173" s="15">
        <v>40137</v>
      </c>
      <c r="F173" s="4">
        <v>8723</v>
      </c>
      <c r="G173" s="1">
        <f t="shared" ca="1" si="4"/>
        <v>16</v>
      </c>
      <c r="H173" s="3">
        <f t="shared" si="5"/>
        <v>31006</v>
      </c>
    </row>
    <row r="174" spans="1:8" x14ac:dyDescent="0.45">
      <c r="A174" s="2">
        <v>1228</v>
      </c>
      <c r="B174" s="5" t="s">
        <v>231</v>
      </c>
      <c r="C174" s="5" t="s">
        <v>520</v>
      </c>
      <c r="D174" s="5" t="s">
        <v>593</v>
      </c>
      <c r="E174" s="15">
        <v>36632</v>
      </c>
      <c r="F174" s="4">
        <v>2319</v>
      </c>
      <c r="G174" s="1">
        <f t="shared" ca="1" si="4"/>
        <v>26</v>
      </c>
      <c r="H174" s="3">
        <f t="shared" si="5"/>
        <v>27500</v>
      </c>
    </row>
    <row r="175" spans="1:8" x14ac:dyDescent="0.45">
      <c r="A175" s="2">
        <v>1108</v>
      </c>
      <c r="B175" s="5" t="s">
        <v>111</v>
      </c>
      <c r="C175" s="5" t="s">
        <v>579</v>
      </c>
      <c r="D175" s="5" t="s">
        <v>584</v>
      </c>
      <c r="E175" s="15">
        <v>40449</v>
      </c>
      <c r="F175" s="4">
        <v>10345</v>
      </c>
      <c r="G175" s="1">
        <f t="shared" ca="1" si="4"/>
        <v>15</v>
      </c>
      <c r="H175" s="3">
        <f t="shared" si="5"/>
        <v>31318</v>
      </c>
    </row>
    <row r="176" spans="1:8" x14ac:dyDescent="0.45">
      <c r="A176" s="2">
        <v>1486</v>
      </c>
      <c r="B176" s="5" t="s">
        <v>489</v>
      </c>
      <c r="C176" s="5" t="s">
        <v>530</v>
      </c>
      <c r="D176" s="5" t="s">
        <v>583</v>
      </c>
      <c r="E176" s="15">
        <v>44814</v>
      </c>
      <c r="F176" s="4">
        <v>8413</v>
      </c>
      <c r="G176" s="1">
        <f t="shared" ca="1" si="4"/>
        <v>3</v>
      </c>
      <c r="H176" s="3">
        <f t="shared" si="5"/>
        <v>35683</v>
      </c>
    </row>
    <row r="177" spans="1:8" x14ac:dyDescent="0.45">
      <c r="A177" s="2">
        <v>1192</v>
      </c>
      <c r="B177" s="5" t="s">
        <v>195</v>
      </c>
      <c r="C177" s="5" t="s">
        <v>571</v>
      </c>
      <c r="D177" s="5" t="s">
        <v>592</v>
      </c>
      <c r="E177" s="15">
        <v>44966</v>
      </c>
      <c r="F177" s="4">
        <v>2476</v>
      </c>
      <c r="G177" s="1">
        <f t="shared" ca="1" si="4"/>
        <v>3</v>
      </c>
      <c r="H177" s="3">
        <f t="shared" si="5"/>
        <v>35835</v>
      </c>
    </row>
    <row r="178" spans="1:8" x14ac:dyDescent="0.45">
      <c r="A178" s="2">
        <v>1366</v>
      </c>
      <c r="B178" s="5" t="s">
        <v>369</v>
      </c>
      <c r="C178" s="5" t="s">
        <v>504</v>
      </c>
      <c r="D178" s="5" t="s">
        <v>596</v>
      </c>
      <c r="E178" s="15">
        <v>41080</v>
      </c>
      <c r="F178" s="4">
        <v>9524</v>
      </c>
      <c r="G178" s="1">
        <f t="shared" ca="1" si="4"/>
        <v>14</v>
      </c>
      <c r="H178" s="3">
        <f t="shared" si="5"/>
        <v>31948</v>
      </c>
    </row>
    <row r="179" spans="1:8" x14ac:dyDescent="0.45">
      <c r="A179" s="2">
        <v>1009</v>
      </c>
      <c r="B179" s="5" t="s">
        <v>12</v>
      </c>
      <c r="C179" s="5" t="s">
        <v>499</v>
      </c>
      <c r="D179" s="5" t="s">
        <v>585</v>
      </c>
      <c r="E179" s="15">
        <v>37167</v>
      </c>
      <c r="F179" s="4">
        <v>2923</v>
      </c>
      <c r="G179" s="1">
        <f t="shared" ca="1" si="4"/>
        <v>24</v>
      </c>
      <c r="H179" s="3">
        <f t="shared" si="5"/>
        <v>28036</v>
      </c>
    </row>
    <row r="180" spans="1:8" x14ac:dyDescent="0.45">
      <c r="A180" s="2">
        <v>1002</v>
      </c>
      <c r="B180" s="5" t="s">
        <v>5</v>
      </c>
      <c r="C180" s="5" t="s">
        <v>492</v>
      </c>
      <c r="D180" s="5" t="s">
        <v>583</v>
      </c>
      <c r="E180" s="15">
        <v>36579</v>
      </c>
      <c r="F180" s="4">
        <v>2000</v>
      </c>
      <c r="G180" s="1">
        <f t="shared" ca="1" si="4"/>
        <v>26</v>
      </c>
      <c r="H180" s="3">
        <f t="shared" si="5"/>
        <v>27448</v>
      </c>
    </row>
    <row r="181" spans="1:8" x14ac:dyDescent="0.45">
      <c r="A181" s="2">
        <v>1163</v>
      </c>
      <c r="B181" s="5" t="s">
        <v>166</v>
      </c>
      <c r="C181" s="5" t="s">
        <v>501</v>
      </c>
      <c r="D181" s="5" t="s">
        <v>590</v>
      </c>
      <c r="E181" s="15">
        <v>43098</v>
      </c>
      <c r="F181" s="4">
        <v>4082</v>
      </c>
      <c r="G181" s="1">
        <f t="shared" ca="1" si="4"/>
        <v>8</v>
      </c>
      <c r="H181" s="3">
        <f t="shared" si="5"/>
        <v>33967</v>
      </c>
    </row>
    <row r="182" spans="1:8" x14ac:dyDescent="0.45">
      <c r="A182" s="2">
        <v>1015</v>
      </c>
      <c r="B182" s="5" t="s">
        <v>18</v>
      </c>
      <c r="C182" s="5" t="s">
        <v>504</v>
      </c>
      <c r="D182" s="5" t="s">
        <v>585</v>
      </c>
      <c r="E182" s="15">
        <v>37276</v>
      </c>
      <c r="F182" s="4">
        <v>4082</v>
      </c>
      <c r="G182" s="1">
        <f t="shared" ca="1" si="4"/>
        <v>24</v>
      </c>
      <c r="H182" s="3">
        <f t="shared" si="5"/>
        <v>28145</v>
      </c>
    </row>
    <row r="183" spans="1:8" x14ac:dyDescent="0.45">
      <c r="A183" s="2">
        <v>1134</v>
      </c>
      <c r="B183" s="5" t="s">
        <v>137</v>
      </c>
      <c r="C183" s="5" t="s">
        <v>492</v>
      </c>
      <c r="D183" s="5" t="s">
        <v>584</v>
      </c>
      <c r="E183" s="15">
        <v>41633</v>
      </c>
      <c r="F183" s="4">
        <v>2369</v>
      </c>
      <c r="G183" s="1">
        <f t="shared" ca="1" si="4"/>
        <v>12</v>
      </c>
      <c r="H183" s="3">
        <f t="shared" si="5"/>
        <v>32502</v>
      </c>
    </row>
    <row r="184" spans="1:8" x14ac:dyDescent="0.45">
      <c r="A184" s="2">
        <v>1007</v>
      </c>
      <c r="B184" s="5" t="s">
        <v>10</v>
      </c>
      <c r="C184" s="5" t="s">
        <v>497</v>
      </c>
      <c r="D184" s="5" t="s">
        <v>583</v>
      </c>
      <c r="E184" s="15">
        <v>36811</v>
      </c>
      <c r="F184" s="4">
        <v>2541</v>
      </c>
      <c r="G184" s="1">
        <f t="shared" ca="1" si="4"/>
        <v>25</v>
      </c>
      <c r="H184" s="3">
        <f t="shared" si="5"/>
        <v>27679</v>
      </c>
    </row>
    <row r="185" spans="1:8" x14ac:dyDescent="0.45">
      <c r="A185" s="2">
        <v>1470</v>
      </c>
      <c r="B185" s="5" t="s">
        <v>473</v>
      </c>
      <c r="C185" s="5" t="s">
        <v>519</v>
      </c>
      <c r="D185" s="5" t="s">
        <v>590</v>
      </c>
      <c r="E185" s="15">
        <v>43885</v>
      </c>
      <c r="F185" s="4">
        <v>9005</v>
      </c>
      <c r="G185" s="1">
        <f t="shared" ca="1" si="4"/>
        <v>6</v>
      </c>
      <c r="H185" s="3">
        <f t="shared" si="5"/>
        <v>34754</v>
      </c>
    </row>
    <row r="186" spans="1:8" x14ac:dyDescent="0.45">
      <c r="A186" s="2">
        <v>1370</v>
      </c>
      <c r="B186" s="5" t="s">
        <v>373</v>
      </c>
      <c r="C186" s="5" t="s">
        <v>529</v>
      </c>
      <c r="D186" s="5" t="s">
        <v>584</v>
      </c>
      <c r="E186" s="15">
        <v>41329</v>
      </c>
      <c r="F186" s="4">
        <v>10167</v>
      </c>
      <c r="G186" s="1">
        <f t="shared" ca="1" si="4"/>
        <v>13</v>
      </c>
      <c r="H186" s="3">
        <f t="shared" si="5"/>
        <v>32197</v>
      </c>
    </row>
    <row r="187" spans="1:8" x14ac:dyDescent="0.45">
      <c r="A187" s="2">
        <v>1251</v>
      </c>
      <c r="B187" s="5" t="s">
        <v>254</v>
      </c>
      <c r="C187" s="5" t="s">
        <v>520</v>
      </c>
      <c r="D187" s="5" t="s">
        <v>587</v>
      </c>
      <c r="E187" s="15">
        <v>36811</v>
      </c>
      <c r="F187" s="4">
        <v>2541</v>
      </c>
      <c r="G187" s="1">
        <f t="shared" ca="1" si="4"/>
        <v>25</v>
      </c>
      <c r="H187" s="3">
        <f t="shared" si="5"/>
        <v>27679</v>
      </c>
    </row>
    <row r="188" spans="1:8" x14ac:dyDescent="0.45">
      <c r="A188" s="2">
        <v>1481</v>
      </c>
      <c r="B188" s="5" t="s">
        <v>484</v>
      </c>
      <c r="C188" s="5" t="s">
        <v>530</v>
      </c>
      <c r="D188" s="5" t="s">
        <v>583</v>
      </c>
      <c r="E188" s="15">
        <v>44208</v>
      </c>
      <c r="F188" s="4">
        <v>8015</v>
      </c>
      <c r="G188" s="1">
        <f t="shared" ca="1" si="4"/>
        <v>5</v>
      </c>
      <c r="H188" s="3">
        <f t="shared" si="5"/>
        <v>35076</v>
      </c>
    </row>
    <row r="189" spans="1:8" x14ac:dyDescent="0.45">
      <c r="A189" s="2">
        <v>1389</v>
      </c>
      <c r="B189" s="5" t="s">
        <v>392</v>
      </c>
      <c r="C189" s="5" t="s">
        <v>527</v>
      </c>
      <c r="D189" s="5" t="s">
        <v>584</v>
      </c>
      <c r="E189" s="15">
        <v>42753</v>
      </c>
      <c r="F189" s="4">
        <v>9581</v>
      </c>
      <c r="G189" s="1">
        <f t="shared" ca="1" si="4"/>
        <v>9</v>
      </c>
      <c r="H189" s="3">
        <f t="shared" si="5"/>
        <v>33621</v>
      </c>
    </row>
    <row r="190" spans="1:8" x14ac:dyDescent="0.45">
      <c r="A190" s="2">
        <v>1181</v>
      </c>
      <c r="B190" s="5" t="s">
        <v>184</v>
      </c>
      <c r="C190" s="5" t="s">
        <v>501</v>
      </c>
      <c r="D190" s="5" t="s">
        <v>591</v>
      </c>
      <c r="E190" s="15">
        <v>44479</v>
      </c>
      <c r="F190" s="4">
        <v>3839</v>
      </c>
      <c r="G190" s="1">
        <f t="shared" ca="1" si="4"/>
        <v>4</v>
      </c>
      <c r="H190" s="3">
        <f t="shared" si="5"/>
        <v>35348</v>
      </c>
    </row>
    <row r="191" spans="1:8" x14ac:dyDescent="0.45">
      <c r="A191" s="2">
        <v>1092</v>
      </c>
      <c r="B191" s="5" t="s">
        <v>95</v>
      </c>
      <c r="C191" s="5" t="s">
        <v>581</v>
      </c>
      <c r="D191" s="5" t="s">
        <v>585</v>
      </c>
      <c r="E191" s="15">
        <v>40009</v>
      </c>
      <c r="F191" s="4">
        <v>17858</v>
      </c>
      <c r="G191" s="1">
        <f t="shared" ca="1" si="4"/>
        <v>17</v>
      </c>
      <c r="H191" s="3">
        <f t="shared" si="5"/>
        <v>30878</v>
      </c>
    </row>
    <row r="192" spans="1:8" x14ac:dyDescent="0.45">
      <c r="A192" s="2">
        <v>1034</v>
      </c>
      <c r="B192" s="5" t="s">
        <v>37</v>
      </c>
      <c r="C192" s="5" t="s">
        <v>523</v>
      </c>
      <c r="D192" s="5" t="s">
        <v>586</v>
      </c>
      <c r="E192" s="15">
        <v>37276</v>
      </c>
      <c r="F192" s="4">
        <v>7800</v>
      </c>
      <c r="G192" s="1">
        <f t="shared" ca="1" si="4"/>
        <v>24</v>
      </c>
      <c r="H192" s="3">
        <f t="shared" si="5"/>
        <v>28145</v>
      </c>
    </row>
    <row r="193" spans="1:8" x14ac:dyDescent="0.45">
      <c r="A193" s="2">
        <v>1356</v>
      </c>
      <c r="B193" s="5" t="s">
        <v>359</v>
      </c>
      <c r="C193" s="5" t="s">
        <v>554</v>
      </c>
      <c r="D193" s="5" t="s">
        <v>596</v>
      </c>
      <c r="E193" s="15">
        <v>40841</v>
      </c>
      <c r="F193" s="4">
        <v>8664</v>
      </c>
      <c r="G193" s="1">
        <f t="shared" ca="1" si="4"/>
        <v>14</v>
      </c>
      <c r="H193" s="3">
        <f t="shared" si="5"/>
        <v>31710</v>
      </c>
    </row>
    <row r="194" spans="1:8" x14ac:dyDescent="0.45">
      <c r="A194" s="2">
        <v>1186</v>
      </c>
      <c r="B194" s="5" t="s">
        <v>189</v>
      </c>
      <c r="C194" s="5" t="s">
        <v>571</v>
      </c>
      <c r="D194" s="5" t="s">
        <v>591</v>
      </c>
      <c r="E194" s="15">
        <v>44727</v>
      </c>
      <c r="F194" s="4">
        <v>4570</v>
      </c>
      <c r="G194" s="1">
        <f t="shared" ref="G194:G257" ca="1" si="6">DATEDIF(E194, TODAY(), "Y")</f>
        <v>4</v>
      </c>
      <c r="H194" s="3">
        <f t="shared" ref="H194:H257" si="7">EDATE(E194, -12*25)</f>
        <v>35596</v>
      </c>
    </row>
    <row r="195" spans="1:8" x14ac:dyDescent="0.45">
      <c r="A195" s="2">
        <v>1260</v>
      </c>
      <c r="B195" s="5" t="s">
        <v>263</v>
      </c>
      <c r="C195" s="5" t="s">
        <v>532</v>
      </c>
      <c r="D195" s="5" t="s">
        <v>587</v>
      </c>
      <c r="E195" s="15">
        <v>37490</v>
      </c>
      <c r="F195" s="4">
        <v>4114</v>
      </c>
      <c r="G195" s="1">
        <f t="shared" ca="1" si="6"/>
        <v>23</v>
      </c>
      <c r="H195" s="3">
        <f t="shared" si="7"/>
        <v>28359</v>
      </c>
    </row>
    <row r="196" spans="1:8" x14ac:dyDescent="0.45">
      <c r="A196" s="2">
        <v>1271</v>
      </c>
      <c r="B196" s="5" t="s">
        <v>274</v>
      </c>
      <c r="C196" s="5" t="s">
        <v>532</v>
      </c>
      <c r="D196" s="5" t="s">
        <v>583</v>
      </c>
      <c r="E196" s="15">
        <v>37040</v>
      </c>
      <c r="F196" s="4">
        <v>8664</v>
      </c>
      <c r="G196" s="1">
        <f t="shared" ca="1" si="6"/>
        <v>25</v>
      </c>
      <c r="H196" s="3">
        <f t="shared" si="7"/>
        <v>27909</v>
      </c>
    </row>
    <row r="197" spans="1:8" x14ac:dyDescent="0.45">
      <c r="A197" s="2">
        <v>1118</v>
      </c>
      <c r="B197" s="5" t="s">
        <v>121</v>
      </c>
      <c r="C197" s="5" t="s">
        <v>495</v>
      </c>
      <c r="D197" s="5" t="s">
        <v>584</v>
      </c>
      <c r="E197" s="15">
        <v>40865</v>
      </c>
      <c r="F197" s="4">
        <v>6854</v>
      </c>
      <c r="G197" s="1">
        <f t="shared" ca="1" si="6"/>
        <v>14</v>
      </c>
      <c r="H197" s="3">
        <f t="shared" si="7"/>
        <v>31734</v>
      </c>
    </row>
    <row r="198" spans="1:8" x14ac:dyDescent="0.45">
      <c r="A198" s="2">
        <v>1268</v>
      </c>
      <c r="B198" s="5" t="s">
        <v>271</v>
      </c>
      <c r="C198" s="5" t="s">
        <v>532</v>
      </c>
      <c r="D198" s="5" t="s">
        <v>587</v>
      </c>
      <c r="E198" s="15">
        <v>36935</v>
      </c>
      <c r="F198" s="4">
        <v>8413</v>
      </c>
      <c r="G198" s="1">
        <f t="shared" ca="1" si="6"/>
        <v>25</v>
      </c>
      <c r="H198" s="3">
        <f t="shared" si="7"/>
        <v>27803</v>
      </c>
    </row>
    <row r="199" spans="1:8" x14ac:dyDescent="0.45">
      <c r="A199" s="2">
        <v>1184</v>
      </c>
      <c r="B199" s="5" t="s">
        <v>187</v>
      </c>
      <c r="C199" s="5" t="s">
        <v>571</v>
      </c>
      <c r="D199" s="5" t="s">
        <v>591</v>
      </c>
      <c r="E199" s="15">
        <v>44611</v>
      </c>
      <c r="F199" s="4">
        <v>4348</v>
      </c>
      <c r="G199" s="1">
        <f t="shared" ca="1" si="6"/>
        <v>4</v>
      </c>
      <c r="H199" s="3">
        <f t="shared" si="7"/>
        <v>35480</v>
      </c>
    </row>
    <row r="200" spans="1:8" x14ac:dyDescent="0.45">
      <c r="A200" s="2">
        <v>1086</v>
      </c>
      <c r="B200" s="5" t="s">
        <v>89</v>
      </c>
      <c r="C200" s="5" t="s">
        <v>575</v>
      </c>
      <c r="D200" s="5" t="s">
        <v>585</v>
      </c>
      <c r="E200" s="15">
        <v>39459</v>
      </c>
      <c r="F200" s="4">
        <v>15538</v>
      </c>
      <c r="G200" s="1">
        <f t="shared" ca="1" si="6"/>
        <v>18</v>
      </c>
      <c r="H200" s="3">
        <f t="shared" si="7"/>
        <v>30328</v>
      </c>
    </row>
    <row r="201" spans="1:8" x14ac:dyDescent="0.45">
      <c r="A201" s="2">
        <v>1176</v>
      </c>
      <c r="B201" s="5" t="s">
        <v>179</v>
      </c>
      <c r="C201" s="5" t="s">
        <v>501</v>
      </c>
      <c r="D201" s="5" t="s">
        <v>591</v>
      </c>
      <c r="E201" s="15">
        <v>44043</v>
      </c>
      <c r="F201" s="4">
        <v>2923</v>
      </c>
      <c r="G201" s="1">
        <f t="shared" ca="1" si="6"/>
        <v>6</v>
      </c>
      <c r="H201" s="3">
        <f t="shared" si="7"/>
        <v>34911</v>
      </c>
    </row>
    <row r="202" spans="1:8" x14ac:dyDescent="0.45">
      <c r="A202" s="2">
        <v>1230</v>
      </c>
      <c r="B202" s="5" t="s">
        <v>233</v>
      </c>
      <c r="C202" s="5" t="s">
        <v>520</v>
      </c>
      <c r="D202" s="5" t="s">
        <v>594</v>
      </c>
      <c r="E202" s="15">
        <v>36714</v>
      </c>
      <c r="F202" s="4">
        <v>2476</v>
      </c>
      <c r="G202" s="1">
        <f t="shared" ca="1" si="6"/>
        <v>26</v>
      </c>
      <c r="H202" s="3">
        <f t="shared" si="7"/>
        <v>27582</v>
      </c>
    </row>
    <row r="203" spans="1:8" x14ac:dyDescent="0.45">
      <c r="A203" s="2">
        <v>1062</v>
      </c>
      <c r="B203" s="5" t="s">
        <v>65</v>
      </c>
      <c r="C203" s="5" t="s">
        <v>551</v>
      </c>
      <c r="D203" s="5" t="s">
        <v>587</v>
      </c>
      <c r="E203" s="15">
        <v>38350</v>
      </c>
      <c r="F203" s="4">
        <v>10982</v>
      </c>
      <c r="G203" s="1">
        <f t="shared" ca="1" si="6"/>
        <v>21</v>
      </c>
      <c r="H203" s="3">
        <f t="shared" si="7"/>
        <v>29218</v>
      </c>
    </row>
    <row r="204" spans="1:8" x14ac:dyDescent="0.45">
      <c r="A204" s="2">
        <v>1199</v>
      </c>
      <c r="B204" s="5" t="s">
        <v>202</v>
      </c>
      <c r="C204" s="5" t="s">
        <v>571</v>
      </c>
      <c r="D204" s="5" t="s">
        <v>592</v>
      </c>
      <c r="E204" s="15">
        <v>45415</v>
      </c>
      <c r="F204" s="4">
        <v>3779</v>
      </c>
      <c r="G204" s="1">
        <f t="shared" ca="1" si="6"/>
        <v>2</v>
      </c>
      <c r="H204" s="3">
        <f t="shared" si="7"/>
        <v>36283</v>
      </c>
    </row>
    <row r="205" spans="1:8" x14ac:dyDescent="0.45">
      <c r="A205" s="2">
        <v>1090</v>
      </c>
      <c r="B205" s="5" t="s">
        <v>93</v>
      </c>
      <c r="C205" s="5" t="s">
        <v>579</v>
      </c>
      <c r="D205" s="5" t="s">
        <v>585</v>
      </c>
      <c r="E205" s="15">
        <v>39982</v>
      </c>
      <c r="F205" s="4">
        <v>16554</v>
      </c>
      <c r="G205" s="1">
        <f t="shared" ca="1" si="6"/>
        <v>17</v>
      </c>
      <c r="H205" s="3">
        <f t="shared" si="7"/>
        <v>30851</v>
      </c>
    </row>
    <row r="206" spans="1:8" x14ac:dyDescent="0.45">
      <c r="A206" s="2">
        <v>1364</v>
      </c>
      <c r="B206" s="5" t="s">
        <v>367</v>
      </c>
      <c r="C206" s="5" t="s">
        <v>504</v>
      </c>
      <c r="D206" s="5" t="s">
        <v>596</v>
      </c>
      <c r="E206" s="15">
        <v>40973</v>
      </c>
      <c r="F206" s="4">
        <v>9128</v>
      </c>
      <c r="G206" s="1">
        <f t="shared" ca="1" si="6"/>
        <v>14</v>
      </c>
      <c r="H206" s="3">
        <f t="shared" si="7"/>
        <v>31841</v>
      </c>
    </row>
    <row r="207" spans="1:8" x14ac:dyDescent="0.45">
      <c r="A207" s="2">
        <v>1146</v>
      </c>
      <c r="B207" s="5" t="s">
        <v>149</v>
      </c>
      <c r="C207" s="5" t="s">
        <v>500</v>
      </c>
      <c r="D207" s="5" t="s">
        <v>590</v>
      </c>
      <c r="E207" s="15">
        <v>42553</v>
      </c>
      <c r="F207" s="4">
        <v>4348</v>
      </c>
      <c r="G207" s="1">
        <f t="shared" ca="1" si="6"/>
        <v>10</v>
      </c>
      <c r="H207" s="3">
        <f t="shared" si="7"/>
        <v>33421</v>
      </c>
    </row>
    <row r="208" spans="1:8" x14ac:dyDescent="0.45">
      <c r="A208" s="2">
        <v>1375</v>
      </c>
      <c r="B208" s="5" t="s">
        <v>378</v>
      </c>
      <c r="C208" s="5" t="s">
        <v>529</v>
      </c>
      <c r="D208" s="5" t="s">
        <v>584</v>
      </c>
      <c r="E208" s="15">
        <v>41945</v>
      </c>
      <c r="F208" s="4">
        <v>8413</v>
      </c>
      <c r="G208" s="1">
        <f t="shared" ca="1" si="6"/>
        <v>11</v>
      </c>
      <c r="H208" s="3">
        <f t="shared" si="7"/>
        <v>32814</v>
      </c>
    </row>
    <row r="209" spans="1:8" x14ac:dyDescent="0.45">
      <c r="A209" s="2">
        <v>1383</v>
      </c>
      <c r="B209" s="5" t="s">
        <v>386</v>
      </c>
      <c r="C209" s="5" t="s">
        <v>529</v>
      </c>
      <c r="D209" s="5" t="s">
        <v>584</v>
      </c>
      <c r="E209" s="15">
        <v>42159</v>
      </c>
      <c r="F209" s="4">
        <v>8967</v>
      </c>
      <c r="G209" s="1">
        <f t="shared" ca="1" si="6"/>
        <v>11</v>
      </c>
      <c r="H209" s="3">
        <f t="shared" si="7"/>
        <v>33028</v>
      </c>
    </row>
    <row r="210" spans="1:8" x14ac:dyDescent="0.45">
      <c r="A210" s="2">
        <v>1323</v>
      </c>
      <c r="B210" s="5" t="s">
        <v>326</v>
      </c>
      <c r="C210" s="5" t="s">
        <v>553</v>
      </c>
      <c r="D210" s="5" t="s">
        <v>595</v>
      </c>
      <c r="E210" s="15">
        <v>39181</v>
      </c>
      <c r="F210" s="4">
        <v>9524</v>
      </c>
      <c r="G210" s="1">
        <f t="shared" ca="1" si="6"/>
        <v>19</v>
      </c>
      <c r="H210" s="3">
        <f t="shared" si="7"/>
        <v>30050</v>
      </c>
    </row>
    <row r="211" spans="1:8" x14ac:dyDescent="0.45">
      <c r="A211" s="2">
        <v>1247</v>
      </c>
      <c r="B211" s="5" t="s">
        <v>250</v>
      </c>
      <c r="C211" s="5" t="s">
        <v>520</v>
      </c>
      <c r="D211" s="5" t="s">
        <v>594</v>
      </c>
      <c r="E211" s="15">
        <v>36632</v>
      </c>
      <c r="F211" s="4">
        <v>1712</v>
      </c>
      <c r="G211" s="1">
        <f t="shared" ca="1" si="6"/>
        <v>26</v>
      </c>
      <c r="H211" s="3">
        <f t="shared" si="7"/>
        <v>27500</v>
      </c>
    </row>
    <row r="212" spans="1:8" x14ac:dyDescent="0.45">
      <c r="A212" s="2">
        <v>1352</v>
      </c>
      <c r="B212" s="5" t="s">
        <v>355</v>
      </c>
      <c r="C212" s="5" t="s">
        <v>554</v>
      </c>
      <c r="D212" s="5" t="s">
        <v>596</v>
      </c>
      <c r="E212" s="15">
        <v>40566</v>
      </c>
      <c r="F212" s="4">
        <v>8365</v>
      </c>
      <c r="G212" s="1">
        <f t="shared" ca="1" si="6"/>
        <v>15</v>
      </c>
      <c r="H212" s="3">
        <f t="shared" si="7"/>
        <v>31435</v>
      </c>
    </row>
    <row r="213" spans="1:8" x14ac:dyDescent="0.45">
      <c r="A213" s="2">
        <v>1232</v>
      </c>
      <c r="B213" s="5" t="s">
        <v>235</v>
      </c>
      <c r="C213" s="5" t="s">
        <v>520</v>
      </c>
      <c r="D213" s="5" t="s">
        <v>594</v>
      </c>
      <c r="E213" s="15">
        <v>36811</v>
      </c>
      <c r="F213" s="4">
        <v>2551</v>
      </c>
      <c r="G213" s="1">
        <f t="shared" ca="1" si="6"/>
        <v>25</v>
      </c>
      <c r="H213" s="3">
        <f t="shared" si="7"/>
        <v>27679</v>
      </c>
    </row>
    <row r="214" spans="1:8" x14ac:dyDescent="0.45">
      <c r="A214" s="2">
        <v>1239</v>
      </c>
      <c r="B214" s="5" t="s">
        <v>242</v>
      </c>
      <c r="C214" s="5" t="s">
        <v>520</v>
      </c>
      <c r="D214" s="5" t="s">
        <v>594</v>
      </c>
      <c r="E214" s="15">
        <v>37237</v>
      </c>
      <c r="F214" s="4">
        <v>4082</v>
      </c>
      <c r="G214" s="1">
        <f t="shared" ca="1" si="6"/>
        <v>24</v>
      </c>
      <c r="H214" s="3">
        <f t="shared" si="7"/>
        <v>28106</v>
      </c>
    </row>
    <row r="215" spans="1:8" x14ac:dyDescent="0.45">
      <c r="A215" s="2">
        <v>1434</v>
      </c>
      <c r="B215" s="5" t="s">
        <v>437</v>
      </c>
      <c r="C215" s="5" t="s">
        <v>516</v>
      </c>
      <c r="D215" s="5" t="s">
        <v>586</v>
      </c>
      <c r="E215" s="15">
        <v>42126</v>
      </c>
      <c r="F215" s="4">
        <v>10109</v>
      </c>
      <c r="G215" s="1">
        <f t="shared" ca="1" si="6"/>
        <v>11</v>
      </c>
      <c r="H215" s="3">
        <f t="shared" si="7"/>
        <v>32995</v>
      </c>
    </row>
    <row r="216" spans="1:8" x14ac:dyDescent="0.45">
      <c r="A216" s="2">
        <v>1329</v>
      </c>
      <c r="B216" s="5" t="s">
        <v>332</v>
      </c>
      <c r="C216" s="5" t="s">
        <v>553</v>
      </c>
      <c r="D216" s="5" t="s">
        <v>596</v>
      </c>
      <c r="E216" s="15">
        <v>39958</v>
      </c>
      <c r="F216" s="4">
        <v>7800</v>
      </c>
      <c r="G216" s="1">
        <f t="shared" ca="1" si="6"/>
        <v>17</v>
      </c>
      <c r="H216" s="3">
        <f t="shared" si="7"/>
        <v>30827</v>
      </c>
    </row>
    <row r="217" spans="1:8" x14ac:dyDescent="0.45">
      <c r="A217" s="2">
        <v>1288</v>
      </c>
      <c r="B217" s="5" t="s">
        <v>291</v>
      </c>
      <c r="C217" s="5" t="s">
        <v>553</v>
      </c>
      <c r="D217" s="5" t="s">
        <v>583</v>
      </c>
      <c r="E217" s="15">
        <v>37695</v>
      </c>
      <c r="F217" s="4">
        <v>8365</v>
      </c>
      <c r="G217" s="1">
        <f t="shared" ca="1" si="6"/>
        <v>23</v>
      </c>
      <c r="H217" s="3">
        <f t="shared" si="7"/>
        <v>28564</v>
      </c>
    </row>
    <row r="218" spans="1:8" x14ac:dyDescent="0.45">
      <c r="A218" s="2">
        <v>1279</v>
      </c>
      <c r="B218" s="5" t="s">
        <v>282</v>
      </c>
      <c r="C218" s="5" t="s">
        <v>532</v>
      </c>
      <c r="D218" s="5" t="s">
        <v>583</v>
      </c>
      <c r="E218" s="15">
        <v>37490</v>
      </c>
      <c r="F218" s="4">
        <v>9128</v>
      </c>
      <c r="G218" s="1">
        <f t="shared" ca="1" si="6"/>
        <v>23</v>
      </c>
      <c r="H218" s="3">
        <f t="shared" si="7"/>
        <v>28359</v>
      </c>
    </row>
    <row r="219" spans="1:8" x14ac:dyDescent="0.45">
      <c r="A219" s="2">
        <v>1214</v>
      </c>
      <c r="B219" s="5" t="s">
        <v>217</v>
      </c>
      <c r="C219" s="5" t="s">
        <v>511</v>
      </c>
      <c r="D219" s="5" t="s">
        <v>593</v>
      </c>
      <c r="E219" s="15">
        <v>42126</v>
      </c>
      <c r="F219" s="4">
        <v>2923</v>
      </c>
      <c r="G219" s="1">
        <f t="shared" ca="1" si="6"/>
        <v>11</v>
      </c>
      <c r="H219" s="3">
        <f t="shared" si="7"/>
        <v>32995</v>
      </c>
    </row>
    <row r="220" spans="1:8" x14ac:dyDescent="0.45">
      <c r="A220" s="2">
        <v>1001</v>
      </c>
      <c r="B220" s="5" t="s">
        <v>4</v>
      </c>
      <c r="C220" s="5" t="s">
        <v>491</v>
      </c>
      <c r="D220" s="5" t="s">
        <v>583</v>
      </c>
      <c r="E220" s="15">
        <v>36800</v>
      </c>
      <c r="F220" s="4">
        <v>1500</v>
      </c>
      <c r="G220" s="1">
        <f t="shared" ca="1" si="6"/>
        <v>25</v>
      </c>
      <c r="H220" s="3">
        <f t="shared" si="7"/>
        <v>27668</v>
      </c>
    </row>
    <row r="221" spans="1:8" x14ac:dyDescent="0.45">
      <c r="A221" s="2">
        <v>1203</v>
      </c>
      <c r="B221" s="5" t="s">
        <v>206</v>
      </c>
      <c r="C221" s="5" t="s">
        <v>511</v>
      </c>
      <c r="D221" s="5" t="s">
        <v>592</v>
      </c>
      <c r="E221" s="15">
        <v>42038</v>
      </c>
      <c r="F221" s="4">
        <v>4348</v>
      </c>
      <c r="G221" s="1">
        <f t="shared" ca="1" si="6"/>
        <v>11</v>
      </c>
      <c r="H221" s="3">
        <f t="shared" si="7"/>
        <v>32907</v>
      </c>
    </row>
    <row r="222" spans="1:8" x14ac:dyDescent="0.45">
      <c r="A222" s="2">
        <v>1441</v>
      </c>
      <c r="B222" s="5" t="s">
        <v>444</v>
      </c>
      <c r="C222" s="5" t="s">
        <v>516</v>
      </c>
      <c r="D222" s="5" t="s">
        <v>586</v>
      </c>
      <c r="E222" s="15">
        <v>42038</v>
      </c>
      <c r="F222" s="4">
        <v>8467</v>
      </c>
      <c r="G222" s="1">
        <f t="shared" ca="1" si="6"/>
        <v>11</v>
      </c>
      <c r="H222" s="3">
        <f t="shared" si="7"/>
        <v>32907</v>
      </c>
    </row>
    <row r="223" spans="1:8" x14ac:dyDescent="0.45">
      <c r="A223" s="2">
        <v>1433</v>
      </c>
      <c r="B223" s="5" t="s">
        <v>436</v>
      </c>
      <c r="C223" s="5" t="s">
        <v>516</v>
      </c>
      <c r="D223" s="5" t="s">
        <v>586</v>
      </c>
      <c r="E223" s="15">
        <v>41939</v>
      </c>
      <c r="F223" s="4">
        <v>9581</v>
      </c>
      <c r="G223" s="1">
        <f t="shared" ca="1" si="6"/>
        <v>11</v>
      </c>
      <c r="H223" s="3">
        <f t="shared" si="7"/>
        <v>32808</v>
      </c>
    </row>
    <row r="224" spans="1:8" ht="15" x14ac:dyDescent="0.45">
      <c r="A224" s="2">
        <v>1071</v>
      </c>
      <c r="B224" s="6" t="s">
        <v>74</v>
      </c>
      <c r="C224" s="5" t="s">
        <v>560</v>
      </c>
      <c r="D224" s="5" t="s">
        <v>587</v>
      </c>
      <c r="E224" s="15">
        <v>38841</v>
      </c>
      <c r="F224" s="4">
        <v>13263</v>
      </c>
      <c r="G224" s="1">
        <f t="shared" ca="1" si="6"/>
        <v>20</v>
      </c>
      <c r="H224" s="3">
        <f t="shared" si="7"/>
        <v>29710</v>
      </c>
    </row>
    <row r="225" spans="1:8" x14ac:dyDescent="0.45">
      <c r="A225" s="2">
        <v>1040</v>
      </c>
      <c r="B225" s="5" t="s">
        <v>43</v>
      </c>
      <c r="C225" s="5" t="s">
        <v>529</v>
      </c>
      <c r="D225" s="5" t="s">
        <v>586</v>
      </c>
      <c r="E225" s="15">
        <v>37575</v>
      </c>
      <c r="F225" s="4">
        <v>8664</v>
      </c>
      <c r="G225" s="1">
        <f t="shared" ca="1" si="6"/>
        <v>23</v>
      </c>
      <c r="H225" s="3">
        <f t="shared" si="7"/>
        <v>28444</v>
      </c>
    </row>
    <row r="226" spans="1:8" x14ac:dyDescent="0.45">
      <c r="A226" s="2">
        <v>1369</v>
      </c>
      <c r="B226" s="5" t="s">
        <v>372</v>
      </c>
      <c r="C226" s="5" t="s">
        <v>529</v>
      </c>
      <c r="D226" s="5" t="s">
        <v>584</v>
      </c>
      <c r="E226" s="15">
        <v>41267</v>
      </c>
      <c r="F226" s="4">
        <v>10167</v>
      </c>
      <c r="G226" s="1">
        <f t="shared" ca="1" si="6"/>
        <v>13</v>
      </c>
      <c r="H226" s="3">
        <f t="shared" si="7"/>
        <v>32135</v>
      </c>
    </row>
    <row r="227" spans="1:8" x14ac:dyDescent="0.45">
      <c r="A227" s="2">
        <v>1060</v>
      </c>
      <c r="B227" s="5" t="s">
        <v>63</v>
      </c>
      <c r="C227" s="5" t="s">
        <v>549</v>
      </c>
      <c r="D227" s="5" t="s">
        <v>587</v>
      </c>
      <c r="E227" s="15">
        <v>38240</v>
      </c>
      <c r="F227" s="4">
        <v>10608</v>
      </c>
      <c r="G227" s="1">
        <f t="shared" ca="1" si="6"/>
        <v>21</v>
      </c>
      <c r="H227" s="3">
        <f t="shared" si="7"/>
        <v>29108</v>
      </c>
    </row>
    <row r="228" spans="1:8" x14ac:dyDescent="0.45">
      <c r="A228" s="2">
        <v>1372</v>
      </c>
      <c r="B228" s="5" t="s">
        <v>375</v>
      </c>
      <c r="C228" s="5" t="s">
        <v>529</v>
      </c>
      <c r="D228" s="5" t="s">
        <v>584</v>
      </c>
      <c r="E228" s="15">
        <v>41415</v>
      </c>
      <c r="F228" s="4">
        <v>7800</v>
      </c>
      <c r="G228" s="1">
        <f t="shared" ca="1" si="6"/>
        <v>13</v>
      </c>
      <c r="H228" s="3">
        <f t="shared" si="7"/>
        <v>32284</v>
      </c>
    </row>
    <row r="229" spans="1:8" x14ac:dyDescent="0.45">
      <c r="A229" s="2">
        <v>1286</v>
      </c>
      <c r="B229" s="5" t="s">
        <v>289</v>
      </c>
      <c r="C229" s="5" t="s">
        <v>553</v>
      </c>
      <c r="D229" s="5" t="s">
        <v>583</v>
      </c>
      <c r="E229" s="15">
        <v>37775</v>
      </c>
      <c r="F229" s="4">
        <v>7800</v>
      </c>
      <c r="G229" s="1">
        <f t="shared" ca="1" si="6"/>
        <v>23</v>
      </c>
      <c r="H229" s="3">
        <f t="shared" si="7"/>
        <v>28644</v>
      </c>
    </row>
    <row r="230" spans="1:8" x14ac:dyDescent="0.45">
      <c r="A230" s="2">
        <v>1371</v>
      </c>
      <c r="B230" s="5" t="s">
        <v>374</v>
      </c>
      <c r="C230" s="5" t="s">
        <v>529</v>
      </c>
      <c r="D230" s="5" t="s">
        <v>584</v>
      </c>
      <c r="E230" s="15">
        <v>41277</v>
      </c>
      <c r="F230" s="4">
        <v>7107</v>
      </c>
      <c r="G230" s="1">
        <f t="shared" ca="1" si="6"/>
        <v>13</v>
      </c>
      <c r="H230" s="3">
        <f t="shared" si="7"/>
        <v>32145</v>
      </c>
    </row>
    <row r="231" spans="1:8" x14ac:dyDescent="0.45">
      <c r="A231" s="2">
        <v>1477</v>
      </c>
      <c r="B231" s="5" t="s">
        <v>480</v>
      </c>
      <c r="C231" s="5" t="s">
        <v>530</v>
      </c>
      <c r="D231" s="5" t="s">
        <v>590</v>
      </c>
      <c r="E231" s="15">
        <v>44194</v>
      </c>
      <c r="F231" s="4">
        <v>10167</v>
      </c>
      <c r="G231" s="1">
        <f t="shared" ca="1" si="6"/>
        <v>5</v>
      </c>
      <c r="H231" s="3">
        <f t="shared" si="7"/>
        <v>35062</v>
      </c>
    </row>
    <row r="232" spans="1:8" x14ac:dyDescent="0.45">
      <c r="A232" s="2">
        <v>1125</v>
      </c>
      <c r="B232" s="5" t="s">
        <v>128</v>
      </c>
      <c r="C232" s="5" t="s">
        <v>492</v>
      </c>
      <c r="D232" s="5" t="s">
        <v>584</v>
      </c>
      <c r="E232" s="15">
        <v>41078</v>
      </c>
      <c r="F232" s="4">
        <v>8555</v>
      </c>
      <c r="G232" s="1">
        <f t="shared" ca="1" si="6"/>
        <v>14</v>
      </c>
      <c r="H232" s="3">
        <f t="shared" si="7"/>
        <v>31946</v>
      </c>
    </row>
    <row r="233" spans="1:8" x14ac:dyDescent="0.45">
      <c r="A233" s="2">
        <v>1289</v>
      </c>
      <c r="B233" s="5" t="s">
        <v>292</v>
      </c>
      <c r="C233" s="5" t="s">
        <v>538</v>
      </c>
      <c r="D233" s="5" t="s">
        <v>583</v>
      </c>
      <c r="E233" s="15">
        <v>37816</v>
      </c>
      <c r="F233" s="4">
        <v>8413</v>
      </c>
      <c r="G233" s="1">
        <f t="shared" ca="1" si="6"/>
        <v>23</v>
      </c>
      <c r="H233" s="3">
        <f t="shared" si="7"/>
        <v>28685</v>
      </c>
    </row>
    <row r="234" spans="1:8" x14ac:dyDescent="0.45">
      <c r="A234" s="2">
        <v>1416</v>
      </c>
      <c r="B234" s="5" t="s">
        <v>419</v>
      </c>
      <c r="C234" s="5" t="s">
        <v>505</v>
      </c>
      <c r="D234" s="5" t="s">
        <v>584</v>
      </c>
      <c r="E234" s="15">
        <v>44611</v>
      </c>
      <c r="F234" s="4">
        <v>7800</v>
      </c>
      <c r="G234" s="1">
        <f t="shared" ca="1" si="6"/>
        <v>4</v>
      </c>
      <c r="H234" s="3">
        <f t="shared" si="7"/>
        <v>35480</v>
      </c>
    </row>
    <row r="235" spans="1:8" x14ac:dyDescent="0.45">
      <c r="A235" s="2">
        <v>1194</v>
      </c>
      <c r="B235" s="5" t="s">
        <v>197</v>
      </c>
      <c r="C235" s="5" t="s">
        <v>571</v>
      </c>
      <c r="D235" s="5" t="s">
        <v>592</v>
      </c>
      <c r="E235" s="15">
        <v>45215</v>
      </c>
      <c r="F235" s="4">
        <v>2551</v>
      </c>
      <c r="G235" s="1">
        <f t="shared" ca="1" si="6"/>
        <v>2</v>
      </c>
      <c r="H235" s="3">
        <f t="shared" si="7"/>
        <v>36084</v>
      </c>
    </row>
    <row r="236" spans="1:8" x14ac:dyDescent="0.45">
      <c r="A236" s="2">
        <v>1430</v>
      </c>
      <c r="B236" s="5" t="s">
        <v>433</v>
      </c>
      <c r="C236" s="5" t="s">
        <v>507</v>
      </c>
      <c r="D236" s="5" t="s">
        <v>586</v>
      </c>
      <c r="E236" s="15">
        <v>45293</v>
      </c>
      <c r="F236" s="4">
        <v>9128</v>
      </c>
      <c r="G236" s="1">
        <f t="shared" ca="1" si="6"/>
        <v>2</v>
      </c>
      <c r="H236" s="3">
        <f t="shared" si="7"/>
        <v>36162</v>
      </c>
    </row>
    <row r="237" spans="1:8" x14ac:dyDescent="0.45">
      <c r="A237" s="2">
        <v>1249</v>
      </c>
      <c r="B237" s="5" t="s">
        <v>252</v>
      </c>
      <c r="C237" s="5" t="s">
        <v>520</v>
      </c>
      <c r="D237" s="5" t="s">
        <v>587</v>
      </c>
      <c r="E237" s="15">
        <v>36714</v>
      </c>
      <c r="F237" s="4">
        <v>2369</v>
      </c>
      <c r="G237" s="1">
        <f t="shared" ca="1" si="6"/>
        <v>26</v>
      </c>
      <c r="H237" s="3">
        <f t="shared" si="7"/>
        <v>27582</v>
      </c>
    </row>
    <row r="238" spans="1:8" x14ac:dyDescent="0.45">
      <c r="A238" s="2">
        <v>1428</v>
      </c>
      <c r="B238" s="5" t="s">
        <v>431</v>
      </c>
      <c r="C238" s="5" t="s">
        <v>507</v>
      </c>
      <c r="D238" s="5" t="s">
        <v>586</v>
      </c>
      <c r="E238" s="15">
        <v>45277</v>
      </c>
      <c r="F238" s="4">
        <v>9005</v>
      </c>
      <c r="G238" s="1">
        <f t="shared" ca="1" si="6"/>
        <v>2</v>
      </c>
      <c r="H238" s="3">
        <f t="shared" si="7"/>
        <v>36146</v>
      </c>
    </row>
    <row r="239" spans="1:8" x14ac:dyDescent="0.45">
      <c r="A239" s="2">
        <v>1318</v>
      </c>
      <c r="B239" s="5" t="s">
        <v>321</v>
      </c>
      <c r="C239" s="5" t="s">
        <v>553</v>
      </c>
      <c r="D239" s="5" t="s">
        <v>595</v>
      </c>
      <c r="E239" s="15">
        <v>39236</v>
      </c>
      <c r="F239" s="4">
        <v>8967</v>
      </c>
      <c r="G239" s="1">
        <f t="shared" ca="1" si="6"/>
        <v>19</v>
      </c>
      <c r="H239" s="3">
        <f t="shared" si="7"/>
        <v>30105</v>
      </c>
    </row>
    <row r="240" spans="1:8" x14ac:dyDescent="0.45">
      <c r="A240" s="2">
        <v>1336</v>
      </c>
      <c r="B240" s="5" t="s">
        <v>339</v>
      </c>
      <c r="C240" s="5" t="s">
        <v>554</v>
      </c>
      <c r="D240" s="5" t="s">
        <v>596</v>
      </c>
      <c r="E240" s="15">
        <v>40005</v>
      </c>
      <c r="F240" s="4">
        <v>8686</v>
      </c>
      <c r="G240" s="1">
        <f t="shared" ca="1" si="6"/>
        <v>17</v>
      </c>
      <c r="H240" s="3">
        <f t="shared" si="7"/>
        <v>30874</v>
      </c>
    </row>
    <row r="241" spans="1:8" x14ac:dyDescent="0.45">
      <c r="A241" s="2">
        <v>1259</v>
      </c>
      <c r="B241" s="5" t="s">
        <v>262</v>
      </c>
      <c r="C241" s="5" t="s">
        <v>532</v>
      </c>
      <c r="D241" s="5" t="s">
        <v>587</v>
      </c>
      <c r="E241" s="15">
        <v>37445</v>
      </c>
      <c r="F241" s="4">
        <v>4082</v>
      </c>
      <c r="G241" s="1">
        <f t="shared" ca="1" si="6"/>
        <v>24</v>
      </c>
      <c r="H241" s="3">
        <f t="shared" si="7"/>
        <v>28314</v>
      </c>
    </row>
    <row r="242" spans="1:8" x14ac:dyDescent="0.45">
      <c r="A242" s="2">
        <v>1041</v>
      </c>
      <c r="B242" s="5" t="s">
        <v>44</v>
      </c>
      <c r="C242" s="5" t="s">
        <v>530</v>
      </c>
      <c r="D242" s="5" t="s">
        <v>586</v>
      </c>
      <c r="E242" s="15">
        <v>37610</v>
      </c>
      <c r="F242" s="4">
        <v>8686</v>
      </c>
      <c r="G242" s="1">
        <f t="shared" ca="1" si="6"/>
        <v>23</v>
      </c>
      <c r="H242" s="3">
        <f t="shared" si="7"/>
        <v>28479</v>
      </c>
    </row>
    <row r="243" spans="1:8" x14ac:dyDescent="0.45">
      <c r="A243" s="2">
        <v>1145</v>
      </c>
      <c r="B243" s="5" t="s">
        <v>148</v>
      </c>
      <c r="C243" s="5" t="s">
        <v>500</v>
      </c>
      <c r="D243" s="5" t="s">
        <v>590</v>
      </c>
      <c r="E243" s="15">
        <v>42228</v>
      </c>
      <c r="F243" s="4">
        <v>4114</v>
      </c>
      <c r="G243" s="1">
        <f t="shared" ca="1" si="6"/>
        <v>11</v>
      </c>
      <c r="H243" s="3">
        <f t="shared" si="7"/>
        <v>33097</v>
      </c>
    </row>
    <row r="244" spans="1:8" x14ac:dyDescent="0.45">
      <c r="A244" s="2">
        <v>1339</v>
      </c>
      <c r="B244" s="5" t="s">
        <v>342</v>
      </c>
      <c r="C244" s="5" t="s">
        <v>554</v>
      </c>
      <c r="D244" s="5" t="s">
        <v>596</v>
      </c>
      <c r="E244" s="15">
        <v>40299</v>
      </c>
      <c r="F244" s="4">
        <v>8814</v>
      </c>
      <c r="G244" s="1">
        <f t="shared" ca="1" si="6"/>
        <v>16</v>
      </c>
      <c r="H244" s="3">
        <f t="shared" si="7"/>
        <v>31168</v>
      </c>
    </row>
    <row r="245" spans="1:8" x14ac:dyDescent="0.45">
      <c r="A245" s="2">
        <v>1148</v>
      </c>
      <c r="B245" s="5" t="s">
        <v>151</v>
      </c>
      <c r="C245" s="5" t="s">
        <v>500</v>
      </c>
      <c r="D245" s="5" t="s">
        <v>590</v>
      </c>
      <c r="E245" s="15">
        <v>42456</v>
      </c>
      <c r="F245" s="4">
        <v>4570</v>
      </c>
      <c r="G245" s="1">
        <f t="shared" ca="1" si="6"/>
        <v>10</v>
      </c>
      <c r="H245" s="3">
        <f t="shared" si="7"/>
        <v>33324</v>
      </c>
    </row>
    <row r="246" spans="1:8" x14ac:dyDescent="0.45">
      <c r="A246" s="2">
        <v>1462</v>
      </c>
      <c r="B246" s="5" t="s">
        <v>465</v>
      </c>
      <c r="C246" s="5" t="s">
        <v>518</v>
      </c>
      <c r="D246" s="5" t="s">
        <v>590</v>
      </c>
      <c r="E246" s="15">
        <v>43399</v>
      </c>
      <c r="F246" s="4">
        <v>8467</v>
      </c>
      <c r="G246" s="1">
        <f t="shared" ca="1" si="6"/>
        <v>7</v>
      </c>
      <c r="H246" s="3">
        <f t="shared" si="7"/>
        <v>34268</v>
      </c>
    </row>
    <row r="247" spans="1:8" x14ac:dyDescent="0.45">
      <c r="A247" s="2">
        <v>1153</v>
      </c>
      <c r="B247" s="5" t="s">
        <v>156</v>
      </c>
      <c r="C247" s="5" t="s">
        <v>500</v>
      </c>
      <c r="D247" s="5" t="s">
        <v>590</v>
      </c>
      <c r="E247" s="15">
        <v>42623</v>
      </c>
      <c r="F247" s="4">
        <v>2369</v>
      </c>
      <c r="G247" s="1">
        <f t="shared" ca="1" si="6"/>
        <v>9</v>
      </c>
      <c r="H247" s="3">
        <f t="shared" si="7"/>
        <v>33491</v>
      </c>
    </row>
    <row r="248" spans="1:8" x14ac:dyDescent="0.45">
      <c r="A248" s="2">
        <v>1128</v>
      </c>
      <c r="B248" s="5" t="s">
        <v>131</v>
      </c>
      <c r="C248" s="5" t="s">
        <v>492</v>
      </c>
      <c r="D248" s="5" t="s">
        <v>584</v>
      </c>
      <c r="E248" s="15">
        <v>41088</v>
      </c>
      <c r="F248" s="4">
        <v>8696</v>
      </c>
      <c r="G248" s="1">
        <f t="shared" ca="1" si="6"/>
        <v>14</v>
      </c>
      <c r="H248" s="3">
        <f t="shared" si="7"/>
        <v>31956</v>
      </c>
    </row>
    <row r="249" spans="1:8" x14ac:dyDescent="0.45">
      <c r="A249" s="2">
        <v>1368</v>
      </c>
      <c r="B249" s="5" t="s">
        <v>371</v>
      </c>
      <c r="C249" s="5" t="s">
        <v>529</v>
      </c>
      <c r="D249" s="5" t="s">
        <v>596</v>
      </c>
      <c r="E249" s="15">
        <v>41088</v>
      </c>
      <c r="F249" s="4">
        <v>10109</v>
      </c>
      <c r="G249" s="1">
        <f t="shared" ca="1" si="6"/>
        <v>14</v>
      </c>
      <c r="H249" s="3">
        <f t="shared" si="7"/>
        <v>31956</v>
      </c>
    </row>
    <row r="250" spans="1:8" x14ac:dyDescent="0.45">
      <c r="A250" s="2">
        <v>1408</v>
      </c>
      <c r="B250" s="5" t="s">
        <v>411</v>
      </c>
      <c r="C250" s="5" t="s">
        <v>505</v>
      </c>
      <c r="D250" s="5" t="s">
        <v>584</v>
      </c>
      <c r="E250" s="15">
        <v>44043</v>
      </c>
      <c r="F250" s="4">
        <v>9123</v>
      </c>
      <c r="G250" s="1">
        <f t="shared" ca="1" si="6"/>
        <v>6</v>
      </c>
      <c r="H250" s="3">
        <f t="shared" si="7"/>
        <v>34911</v>
      </c>
    </row>
    <row r="251" spans="1:8" x14ac:dyDescent="0.45">
      <c r="A251" s="2">
        <v>1466</v>
      </c>
      <c r="B251" s="5" t="s">
        <v>469</v>
      </c>
      <c r="C251" s="5" t="s">
        <v>518</v>
      </c>
      <c r="D251" s="5" t="s">
        <v>590</v>
      </c>
      <c r="E251" s="15">
        <v>43458</v>
      </c>
      <c r="F251" s="4">
        <v>8696</v>
      </c>
      <c r="G251" s="1">
        <f t="shared" ca="1" si="6"/>
        <v>7</v>
      </c>
      <c r="H251" s="3">
        <f t="shared" si="7"/>
        <v>34327</v>
      </c>
    </row>
    <row r="252" spans="1:8" x14ac:dyDescent="0.45">
      <c r="A252" s="2">
        <v>1207</v>
      </c>
      <c r="B252" s="5" t="s">
        <v>210</v>
      </c>
      <c r="C252" s="5" t="s">
        <v>511</v>
      </c>
      <c r="D252" s="5" t="s">
        <v>592</v>
      </c>
      <c r="E252" s="15">
        <v>41939</v>
      </c>
      <c r="F252" s="4">
        <v>2000</v>
      </c>
      <c r="G252" s="1">
        <f t="shared" ca="1" si="6"/>
        <v>11</v>
      </c>
      <c r="H252" s="3">
        <f t="shared" si="7"/>
        <v>32808</v>
      </c>
    </row>
    <row r="253" spans="1:8" x14ac:dyDescent="0.45">
      <c r="A253" s="2">
        <v>1005</v>
      </c>
      <c r="B253" s="5" t="s">
        <v>8</v>
      </c>
      <c r="C253" s="5" t="s">
        <v>495</v>
      </c>
      <c r="D253" s="5" t="s">
        <v>584</v>
      </c>
      <c r="E253" s="15">
        <v>36714</v>
      </c>
      <c r="F253" s="4">
        <v>2369</v>
      </c>
      <c r="G253" s="1">
        <f t="shared" ca="1" si="6"/>
        <v>26</v>
      </c>
      <c r="H253" s="3">
        <f t="shared" si="7"/>
        <v>27582</v>
      </c>
    </row>
    <row r="254" spans="1:8" x14ac:dyDescent="0.45">
      <c r="A254" s="2">
        <v>1129</v>
      </c>
      <c r="B254" s="5" t="s">
        <v>132</v>
      </c>
      <c r="C254" s="5" t="s">
        <v>492</v>
      </c>
      <c r="D254" s="5" t="s">
        <v>584</v>
      </c>
      <c r="E254" s="15">
        <v>41267</v>
      </c>
      <c r="F254" s="4">
        <v>8723</v>
      </c>
      <c r="G254" s="1">
        <f t="shared" ca="1" si="6"/>
        <v>13</v>
      </c>
      <c r="H254" s="3">
        <f t="shared" si="7"/>
        <v>32135</v>
      </c>
    </row>
    <row r="255" spans="1:8" x14ac:dyDescent="0.45">
      <c r="A255" s="2">
        <v>1142</v>
      </c>
      <c r="B255" s="5" t="s">
        <v>145</v>
      </c>
      <c r="C255" s="5" t="s">
        <v>500</v>
      </c>
      <c r="D255" s="5" t="s">
        <v>584</v>
      </c>
      <c r="E255" s="15">
        <v>42128</v>
      </c>
      <c r="F255" s="4">
        <v>3779</v>
      </c>
      <c r="G255" s="1">
        <f t="shared" ca="1" si="6"/>
        <v>11</v>
      </c>
      <c r="H255" s="3">
        <f t="shared" si="7"/>
        <v>32997</v>
      </c>
    </row>
    <row r="256" spans="1:8" x14ac:dyDescent="0.45">
      <c r="A256" s="2">
        <v>1144</v>
      </c>
      <c r="B256" s="5" t="s">
        <v>147</v>
      </c>
      <c r="C256" s="5" t="s">
        <v>500</v>
      </c>
      <c r="D256" s="5" t="s">
        <v>590</v>
      </c>
      <c r="E256" s="15">
        <v>42161</v>
      </c>
      <c r="F256" s="4">
        <v>4082</v>
      </c>
      <c r="G256" s="1">
        <f t="shared" ca="1" si="6"/>
        <v>11</v>
      </c>
      <c r="H256" s="3">
        <f t="shared" si="7"/>
        <v>33030</v>
      </c>
    </row>
    <row r="257" spans="1:8" x14ac:dyDescent="0.45">
      <c r="A257" s="2">
        <v>1011</v>
      </c>
      <c r="B257" s="5" t="s">
        <v>14</v>
      </c>
      <c r="C257" s="5" t="s">
        <v>501</v>
      </c>
      <c r="D257" s="5" t="s">
        <v>585</v>
      </c>
      <c r="E257" s="15">
        <v>37040</v>
      </c>
      <c r="F257" s="4">
        <v>3332</v>
      </c>
      <c r="G257" s="1">
        <f t="shared" ca="1" si="6"/>
        <v>25</v>
      </c>
      <c r="H257" s="3">
        <f t="shared" si="7"/>
        <v>27909</v>
      </c>
    </row>
    <row r="258" spans="1:8" x14ac:dyDescent="0.45">
      <c r="A258" s="2">
        <v>1254</v>
      </c>
      <c r="B258" s="5" t="s">
        <v>257</v>
      </c>
      <c r="C258" s="5" t="s">
        <v>520</v>
      </c>
      <c r="D258" s="5" t="s">
        <v>587</v>
      </c>
      <c r="E258" s="15">
        <v>36955</v>
      </c>
      <c r="F258" s="4">
        <v>3001</v>
      </c>
      <c r="G258" s="1">
        <f t="shared" ref="G258:G321" ca="1" si="8">DATEDIF(E258, TODAY(), "Y")</f>
        <v>25</v>
      </c>
      <c r="H258" s="3">
        <f t="shared" ref="H258:H321" si="9">EDATE(E258, -12*25)</f>
        <v>27824</v>
      </c>
    </row>
    <row r="259" spans="1:8" x14ac:dyDescent="0.45">
      <c r="A259" s="2">
        <v>1054</v>
      </c>
      <c r="B259" s="5" t="s">
        <v>57</v>
      </c>
      <c r="C259" s="5" t="s">
        <v>543</v>
      </c>
      <c r="D259" s="5" t="s">
        <v>583</v>
      </c>
      <c r="E259" s="15">
        <v>38045</v>
      </c>
      <c r="F259" s="4">
        <v>10179</v>
      </c>
      <c r="G259" s="1">
        <f t="shared" ca="1" si="8"/>
        <v>22</v>
      </c>
      <c r="H259" s="3">
        <f t="shared" si="9"/>
        <v>28914</v>
      </c>
    </row>
    <row r="260" spans="1:8" x14ac:dyDescent="0.45">
      <c r="A260" s="2">
        <v>1223</v>
      </c>
      <c r="B260" s="5" t="s">
        <v>226</v>
      </c>
      <c r="C260" s="5" t="s">
        <v>520</v>
      </c>
      <c r="D260" s="5" t="s">
        <v>593</v>
      </c>
      <c r="E260" s="15">
        <v>43885</v>
      </c>
      <c r="F260" s="4">
        <v>4539</v>
      </c>
      <c r="G260" s="1">
        <f t="shared" ca="1" si="8"/>
        <v>6</v>
      </c>
      <c r="H260" s="3">
        <f t="shared" si="9"/>
        <v>34754</v>
      </c>
    </row>
    <row r="261" spans="1:8" x14ac:dyDescent="0.45">
      <c r="A261" s="2">
        <v>1100</v>
      </c>
      <c r="B261" s="5" t="s">
        <v>103</v>
      </c>
      <c r="C261" s="5" t="s">
        <v>491</v>
      </c>
      <c r="D261" s="5" t="s">
        <v>584</v>
      </c>
      <c r="E261" s="15">
        <v>40207</v>
      </c>
      <c r="F261" s="4">
        <v>19750</v>
      </c>
      <c r="G261" s="1">
        <f t="shared" ca="1" si="8"/>
        <v>16</v>
      </c>
      <c r="H261" s="3">
        <f t="shared" si="9"/>
        <v>31076</v>
      </c>
    </row>
    <row r="262" spans="1:8" x14ac:dyDescent="0.45">
      <c r="A262" s="2">
        <v>1136</v>
      </c>
      <c r="B262" s="5" t="s">
        <v>139</v>
      </c>
      <c r="C262" s="5" t="s">
        <v>492</v>
      </c>
      <c r="D262" s="5" t="s">
        <v>584</v>
      </c>
      <c r="E262" s="15">
        <v>41694</v>
      </c>
      <c r="F262" s="4">
        <v>2541</v>
      </c>
      <c r="G262" s="1">
        <f t="shared" ca="1" si="8"/>
        <v>12</v>
      </c>
      <c r="H262" s="3">
        <f t="shared" si="9"/>
        <v>32563</v>
      </c>
    </row>
    <row r="263" spans="1:8" x14ac:dyDescent="0.45">
      <c r="A263" s="2">
        <v>1465</v>
      </c>
      <c r="B263" s="5" t="s">
        <v>468</v>
      </c>
      <c r="C263" s="5" t="s">
        <v>518</v>
      </c>
      <c r="D263" s="5" t="s">
        <v>590</v>
      </c>
      <c r="E263" s="15">
        <v>43450</v>
      </c>
      <c r="F263" s="4">
        <v>8686</v>
      </c>
      <c r="G263" s="1">
        <f t="shared" ca="1" si="8"/>
        <v>7</v>
      </c>
      <c r="H263" s="3">
        <f t="shared" si="9"/>
        <v>34319</v>
      </c>
    </row>
    <row r="264" spans="1:8" x14ac:dyDescent="0.45">
      <c r="A264" s="2">
        <v>1269</v>
      </c>
      <c r="B264" s="5" t="s">
        <v>272</v>
      </c>
      <c r="C264" s="5" t="s">
        <v>532</v>
      </c>
      <c r="D264" s="5" t="s">
        <v>587</v>
      </c>
      <c r="E264" s="15">
        <v>37167</v>
      </c>
      <c r="F264" s="4">
        <v>8467</v>
      </c>
      <c r="G264" s="1">
        <f t="shared" ca="1" si="8"/>
        <v>24</v>
      </c>
      <c r="H264" s="3">
        <f t="shared" si="9"/>
        <v>28036</v>
      </c>
    </row>
    <row r="265" spans="1:8" x14ac:dyDescent="0.45">
      <c r="A265" s="2">
        <v>1110</v>
      </c>
      <c r="B265" s="5" t="s">
        <v>113</v>
      </c>
      <c r="C265" s="5" t="s">
        <v>495</v>
      </c>
      <c r="D265" s="5" t="s">
        <v>584</v>
      </c>
      <c r="E265" s="15">
        <v>40536</v>
      </c>
      <c r="F265" s="4">
        <v>10605</v>
      </c>
      <c r="G265" s="1">
        <f t="shared" ca="1" si="8"/>
        <v>15</v>
      </c>
      <c r="H265" s="3">
        <f t="shared" si="9"/>
        <v>31405</v>
      </c>
    </row>
    <row r="266" spans="1:8" x14ac:dyDescent="0.45">
      <c r="A266" s="2">
        <v>1094</v>
      </c>
      <c r="B266" s="5" t="s">
        <v>97</v>
      </c>
      <c r="C266" s="5" t="s">
        <v>491</v>
      </c>
      <c r="D266" s="5" t="s">
        <v>584</v>
      </c>
      <c r="E266" s="15">
        <v>40108</v>
      </c>
      <c r="F266" s="4">
        <v>19002</v>
      </c>
      <c r="G266" s="1">
        <f t="shared" ca="1" si="8"/>
        <v>16</v>
      </c>
      <c r="H266" s="3">
        <f t="shared" si="9"/>
        <v>30977</v>
      </c>
    </row>
    <row r="267" spans="1:8" x14ac:dyDescent="0.45">
      <c r="A267" s="2">
        <v>1464</v>
      </c>
      <c r="B267" s="5" t="s">
        <v>467</v>
      </c>
      <c r="C267" s="5" t="s">
        <v>518</v>
      </c>
      <c r="D267" s="5" t="s">
        <v>590</v>
      </c>
      <c r="E267" s="15">
        <v>43324</v>
      </c>
      <c r="F267" s="4">
        <v>8664</v>
      </c>
      <c r="G267" s="1">
        <f t="shared" ca="1" si="8"/>
        <v>8</v>
      </c>
      <c r="H267" s="3">
        <f t="shared" si="9"/>
        <v>34193</v>
      </c>
    </row>
    <row r="268" spans="1:8" x14ac:dyDescent="0.45">
      <c r="A268" s="2">
        <v>1387</v>
      </c>
      <c r="B268" s="5" t="s">
        <v>390</v>
      </c>
      <c r="C268" s="5" t="s">
        <v>527</v>
      </c>
      <c r="D268" s="5" t="s">
        <v>584</v>
      </c>
      <c r="E268" s="15">
        <v>42917</v>
      </c>
      <c r="F268" s="4">
        <v>9521</v>
      </c>
      <c r="G268" s="1">
        <f t="shared" ca="1" si="8"/>
        <v>9</v>
      </c>
      <c r="H268" s="3">
        <f t="shared" si="9"/>
        <v>33786</v>
      </c>
    </row>
    <row r="269" spans="1:8" x14ac:dyDescent="0.45">
      <c r="A269" s="2">
        <v>1061</v>
      </c>
      <c r="B269" s="5" t="s">
        <v>64</v>
      </c>
      <c r="C269" s="5" t="s">
        <v>550</v>
      </c>
      <c r="D269" s="5" t="s">
        <v>587</v>
      </c>
      <c r="E269" s="15">
        <v>37998</v>
      </c>
      <c r="F269" s="4">
        <v>10615</v>
      </c>
      <c r="G269" s="1">
        <f t="shared" ca="1" si="8"/>
        <v>22</v>
      </c>
      <c r="H269" s="3">
        <f t="shared" si="9"/>
        <v>28867</v>
      </c>
    </row>
    <row r="270" spans="1:8" x14ac:dyDescent="0.45">
      <c r="A270" s="2">
        <v>1380</v>
      </c>
      <c r="B270" s="5" t="s">
        <v>383</v>
      </c>
      <c r="C270" s="5" t="s">
        <v>529</v>
      </c>
      <c r="D270" s="5" t="s">
        <v>584</v>
      </c>
      <c r="E270" s="15">
        <v>42126</v>
      </c>
      <c r="F270" s="4">
        <v>8696</v>
      </c>
      <c r="G270" s="1">
        <f t="shared" ca="1" si="8"/>
        <v>11</v>
      </c>
      <c r="H270" s="3">
        <f t="shared" si="9"/>
        <v>32995</v>
      </c>
    </row>
    <row r="271" spans="1:8" x14ac:dyDescent="0.45">
      <c r="A271" s="2">
        <v>1240</v>
      </c>
      <c r="B271" s="5" t="s">
        <v>243</v>
      </c>
      <c r="C271" s="5" t="s">
        <v>520</v>
      </c>
      <c r="D271" s="5" t="s">
        <v>594</v>
      </c>
      <c r="E271" s="15">
        <v>37276</v>
      </c>
      <c r="F271" s="4">
        <v>4114</v>
      </c>
      <c r="G271" s="1">
        <f t="shared" ca="1" si="8"/>
        <v>24</v>
      </c>
      <c r="H271" s="3">
        <f t="shared" si="9"/>
        <v>28145</v>
      </c>
    </row>
    <row r="272" spans="1:8" x14ac:dyDescent="0.45">
      <c r="A272" s="2">
        <v>1382</v>
      </c>
      <c r="B272" s="5" t="s">
        <v>385</v>
      </c>
      <c r="C272" s="5" t="s">
        <v>529</v>
      </c>
      <c r="D272" s="5" t="s">
        <v>584</v>
      </c>
      <c r="E272" s="15">
        <v>42128</v>
      </c>
      <c r="F272" s="4">
        <v>8814</v>
      </c>
      <c r="G272" s="1">
        <f t="shared" ca="1" si="8"/>
        <v>11</v>
      </c>
      <c r="H272" s="3">
        <f t="shared" si="9"/>
        <v>32997</v>
      </c>
    </row>
    <row r="273" spans="1:8" x14ac:dyDescent="0.45">
      <c r="A273" s="2">
        <v>1201</v>
      </c>
      <c r="B273" s="5" t="s">
        <v>204</v>
      </c>
      <c r="C273" s="5" t="s">
        <v>511</v>
      </c>
      <c r="D273" s="5" t="s">
        <v>592</v>
      </c>
      <c r="E273" s="15">
        <v>41939</v>
      </c>
      <c r="F273" s="4">
        <v>4082</v>
      </c>
      <c r="G273" s="1">
        <f t="shared" ca="1" si="8"/>
        <v>11</v>
      </c>
      <c r="H273" s="3">
        <f t="shared" si="9"/>
        <v>32808</v>
      </c>
    </row>
    <row r="274" spans="1:8" x14ac:dyDescent="0.45">
      <c r="A274" s="2">
        <v>1003</v>
      </c>
      <c r="B274" s="5" t="s">
        <v>6</v>
      </c>
      <c r="C274" s="5" t="s">
        <v>493</v>
      </c>
      <c r="D274" s="5" t="s">
        <v>583</v>
      </c>
      <c r="E274" s="15">
        <v>36632</v>
      </c>
      <c r="F274" s="4">
        <v>1712</v>
      </c>
      <c r="G274" s="1">
        <f t="shared" ca="1" si="8"/>
        <v>26</v>
      </c>
      <c r="H274" s="3">
        <f t="shared" si="9"/>
        <v>27500</v>
      </c>
    </row>
    <row r="275" spans="1:8" x14ac:dyDescent="0.45">
      <c r="A275" s="2">
        <v>1270</v>
      </c>
      <c r="B275" s="5" t="s">
        <v>273</v>
      </c>
      <c r="C275" s="5" t="s">
        <v>532</v>
      </c>
      <c r="D275" s="5" t="s">
        <v>583</v>
      </c>
      <c r="E275" s="15">
        <v>36955</v>
      </c>
      <c r="F275" s="4">
        <v>8555</v>
      </c>
      <c r="G275" s="1">
        <f t="shared" ca="1" si="8"/>
        <v>25</v>
      </c>
      <c r="H275" s="3">
        <f t="shared" si="9"/>
        <v>27824</v>
      </c>
    </row>
    <row r="276" spans="1:8" x14ac:dyDescent="0.45">
      <c r="A276" s="2">
        <v>1106</v>
      </c>
      <c r="B276" s="5" t="s">
        <v>109</v>
      </c>
      <c r="C276" s="5" t="s">
        <v>579</v>
      </c>
      <c r="D276" s="5" t="s">
        <v>584</v>
      </c>
      <c r="E276" s="15">
        <v>40488</v>
      </c>
      <c r="F276" s="4">
        <v>10248</v>
      </c>
      <c r="G276" s="1">
        <f t="shared" ca="1" si="8"/>
        <v>15</v>
      </c>
      <c r="H276" s="3">
        <f t="shared" si="9"/>
        <v>31357</v>
      </c>
    </row>
    <row r="277" spans="1:8" x14ac:dyDescent="0.45">
      <c r="A277" s="2">
        <v>1403</v>
      </c>
      <c r="B277" s="5" t="s">
        <v>406</v>
      </c>
      <c r="C277" s="5" t="s">
        <v>505</v>
      </c>
      <c r="D277" s="5" t="s">
        <v>584</v>
      </c>
      <c r="E277" s="15">
        <v>43703</v>
      </c>
      <c r="F277" s="4">
        <v>8696</v>
      </c>
      <c r="G277" s="1">
        <f t="shared" ca="1" si="8"/>
        <v>6</v>
      </c>
      <c r="H277" s="3">
        <f t="shared" si="9"/>
        <v>34572</v>
      </c>
    </row>
    <row r="278" spans="1:8" x14ac:dyDescent="0.45">
      <c r="A278" s="2">
        <v>1226</v>
      </c>
      <c r="B278" s="5" t="s">
        <v>229</v>
      </c>
      <c r="C278" s="5" t="s">
        <v>520</v>
      </c>
      <c r="D278" s="5" t="s">
        <v>593</v>
      </c>
      <c r="E278" s="15">
        <v>44048</v>
      </c>
      <c r="F278" s="4">
        <v>2000</v>
      </c>
      <c r="G278" s="1">
        <f t="shared" ca="1" si="8"/>
        <v>6</v>
      </c>
      <c r="H278" s="3">
        <f t="shared" si="9"/>
        <v>34916</v>
      </c>
    </row>
    <row r="279" spans="1:8" x14ac:dyDescent="0.45">
      <c r="A279" s="2">
        <v>1291</v>
      </c>
      <c r="B279" s="5" t="s">
        <v>294</v>
      </c>
      <c r="C279" s="5" t="s">
        <v>538</v>
      </c>
      <c r="D279" s="5" t="s">
        <v>583</v>
      </c>
      <c r="E279" s="15">
        <v>37722</v>
      </c>
      <c r="F279" s="4">
        <v>8555</v>
      </c>
      <c r="G279" s="1">
        <f t="shared" ca="1" si="8"/>
        <v>23</v>
      </c>
      <c r="H279" s="3">
        <f t="shared" si="9"/>
        <v>28591</v>
      </c>
    </row>
    <row r="280" spans="1:8" x14ac:dyDescent="0.45">
      <c r="A280" s="2">
        <v>1218</v>
      </c>
      <c r="B280" s="5" t="s">
        <v>221</v>
      </c>
      <c r="C280" s="5" t="s">
        <v>511</v>
      </c>
      <c r="D280" s="5" t="s">
        <v>593</v>
      </c>
      <c r="E280" s="15">
        <v>43450</v>
      </c>
      <c r="F280" s="4">
        <v>3779</v>
      </c>
      <c r="G280" s="1">
        <f t="shared" ca="1" si="8"/>
        <v>7</v>
      </c>
      <c r="H280" s="3">
        <f t="shared" si="9"/>
        <v>34319</v>
      </c>
    </row>
    <row r="281" spans="1:8" x14ac:dyDescent="0.45">
      <c r="A281" s="2">
        <v>1468</v>
      </c>
      <c r="B281" s="5" t="s">
        <v>471</v>
      </c>
      <c r="C281" s="5" t="s">
        <v>518</v>
      </c>
      <c r="D281" s="5" t="s">
        <v>590</v>
      </c>
      <c r="E281" s="15">
        <v>43531</v>
      </c>
      <c r="F281" s="4">
        <v>8814</v>
      </c>
      <c r="G281" s="1">
        <f t="shared" ca="1" si="8"/>
        <v>7</v>
      </c>
      <c r="H281" s="3">
        <f t="shared" si="9"/>
        <v>34400</v>
      </c>
    </row>
    <row r="282" spans="1:8" x14ac:dyDescent="0.45">
      <c r="A282" s="2">
        <v>1316</v>
      </c>
      <c r="B282" s="5" t="s">
        <v>319</v>
      </c>
      <c r="C282" s="5" t="s">
        <v>553</v>
      </c>
      <c r="D282" s="5" t="s">
        <v>595</v>
      </c>
      <c r="E282" s="15">
        <v>39174</v>
      </c>
      <c r="F282" s="4">
        <v>8723</v>
      </c>
      <c r="G282" s="1">
        <f t="shared" ca="1" si="8"/>
        <v>19</v>
      </c>
      <c r="H282" s="3">
        <f t="shared" si="9"/>
        <v>30043</v>
      </c>
    </row>
    <row r="283" spans="1:8" x14ac:dyDescent="0.45">
      <c r="A283" s="2">
        <v>1295</v>
      </c>
      <c r="B283" s="5" t="s">
        <v>298</v>
      </c>
      <c r="C283" s="5" t="s">
        <v>538</v>
      </c>
      <c r="D283" s="5" t="s">
        <v>583</v>
      </c>
      <c r="E283" s="15">
        <v>38061</v>
      </c>
      <c r="F283" s="4">
        <v>8723</v>
      </c>
      <c r="G283" s="1">
        <f t="shared" ca="1" si="8"/>
        <v>22</v>
      </c>
      <c r="H283" s="3">
        <f t="shared" si="9"/>
        <v>28929</v>
      </c>
    </row>
    <row r="284" spans="1:8" ht="15" x14ac:dyDescent="0.45">
      <c r="A284" s="2">
        <v>1070</v>
      </c>
      <c r="B284" s="6" t="s">
        <v>73</v>
      </c>
      <c r="C284" s="5" t="s">
        <v>559</v>
      </c>
      <c r="D284" s="5" t="s">
        <v>587</v>
      </c>
      <c r="E284" s="15">
        <v>38792</v>
      </c>
      <c r="F284" s="4">
        <v>13141</v>
      </c>
      <c r="G284" s="1">
        <f t="shared" ca="1" si="8"/>
        <v>20</v>
      </c>
      <c r="H284" s="3">
        <f t="shared" si="9"/>
        <v>29661</v>
      </c>
    </row>
    <row r="285" spans="1:8" x14ac:dyDescent="0.45">
      <c r="A285" s="2">
        <v>1471</v>
      </c>
      <c r="B285" s="5" t="s">
        <v>474</v>
      </c>
      <c r="C285" s="5" t="s">
        <v>519</v>
      </c>
      <c r="D285" s="5" t="s">
        <v>590</v>
      </c>
      <c r="E285" s="15">
        <v>43865</v>
      </c>
      <c r="F285" s="4">
        <v>9123</v>
      </c>
      <c r="G285" s="1">
        <f t="shared" ca="1" si="8"/>
        <v>6</v>
      </c>
      <c r="H285" s="3">
        <f t="shared" si="9"/>
        <v>34734</v>
      </c>
    </row>
    <row r="286" spans="1:8" x14ac:dyDescent="0.45">
      <c r="A286" s="2">
        <v>1097</v>
      </c>
      <c r="B286" s="5" t="s">
        <v>100</v>
      </c>
      <c r="C286" s="5" t="s">
        <v>491</v>
      </c>
      <c r="D286" s="5" t="s">
        <v>584</v>
      </c>
      <c r="E286" s="15">
        <v>40134</v>
      </c>
      <c r="F286" s="4">
        <v>19356</v>
      </c>
      <c r="G286" s="1">
        <f t="shared" ca="1" si="8"/>
        <v>16</v>
      </c>
      <c r="H286" s="3">
        <f t="shared" si="9"/>
        <v>31003</v>
      </c>
    </row>
    <row r="287" spans="1:8" x14ac:dyDescent="0.45">
      <c r="A287" s="2">
        <v>1449</v>
      </c>
      <c r="B287" s="5" t="s">
        <v>452</v>
      </c>
      <c r="C287" s="5" t="s">
        <v>517</v>
      </c>
      <c r="D287" s="5" t="s">
        <v>586</v>
      </c>
      <c r="E287" s="15">
        <v>42159</v>
      </c>
      <c r="F287" s="4">
        <v>9005</v>
      </c>
      <c r="G287" s="1">
        <f t="shared" ca="1" si="8"/>
        <v>11</v>
      </c>
      <c r="H287" s="3">
        <f t="shared" si="9"/>
        <v>33028</v>
      </c>
    </row>
    <row r="288" spans="1:8" x14ac:dyDescent="0.45">
      <c r="A288" s="2">
        <v>1353</v>
      </c>
      <c r="B288" s="5" t="s">
        <v>356</v>
      </c>
      <c r="C288" s="5" t="s">
        <v>554</v>
      </c>
      <c r="D288" s="5" t="s">
        <v>596</v>
      </c>
      <c r="E288" s="15">
        <v>40587</v>
      </c>
      <c r="F288" s="4">
        <v>8413</v>
      </c>
      <c r="G288" s="1">
        <f t="shared" ca="1" si="8"/>
        <v>15</v>
      </c>
      <c r="H288" s="3">
        <f t="shared" si="9"/>
        <v>31456</v>
      </c>
    </row>
    <row r="289" spans="1:8" x14ac:dyDescent="0.45">
      <c r="A289" s="2">
        <v>1161</v>
      </c>
      <c r="B289" s="5" t="s">
        <v>164</v>
      </c>
      <c r="C289" s="5" t="s">
        <v>569</v>
      </c>
      <c r="D289" s="5" t="s">
        <v>590</v>
      </c>
      <c r="E289" s="15">
        <v>43063</v>
      </c>
      <c r="F289" s="4">
        <v>3779</v>
      </c>
      <c r="G289" s="1">
        <f t="shared" ca="1" si="8"/>
        <v>8</v>
      </c>
      <c r="H289" s="3">
        <f t="shared" si="9"/>
        <v>33932</v>
      </c>
    </row>
    <row r="290" spans="1:8" x14ac:dyDescent="0.45">
      <c r="A290" s="2">
        <v>1264</v>
      </c>
      <c r="B290" s="5" t="s">
        <v>267</v>
      </c>
      <c r="C290" s="5" t="s">
        <v>532</v>
      </c>
      <c r="D290" s="5" t="s">
        <v>587</v>
      </c>
      <c r="E290" s="15">
        <v>36643</v>
      </c>
      <c r="F290" s="4">
        <v>7107</v>
      </c>
      <c r="G290" s="1">
        <f t="shared" ca="1" si="8"/>
        <v>26</v>
      </c>
      <c r="H290" s="3">
        <f t="shared" si="9"/>
        <v>27511</v>
      </c>
    </row>
    <row r="291" spans="1:8" x14ac:dyDescent="0.45">
      <c r="A291" s="2">
        <v>1391</v>
      </c>
      <c r="B291" s="5" t="s">
        <v>394</v>
      </c>
      <c r="C291" s="5" t="s">
        <v>506</v>
      </c>
      <c r="D291" s="5" t="s">
        <v>584</v>
      </c>
      <c r="E291" s="15">
        <v>42859</v>
      </c>
      <c r="F291" s="4">
        <v>10167</v>
      </c>
      <c r="G291" s="1">
        <f t="shared" ca="1" si="8"/>
        <v>9</v>
      </c>
      <c r="H291" s="3">
        <f t="shared" si="9"/>
        <v>33728</v>
      </c>
    </row>
    <row r="292" spans="1:8" x14ac:dyDescent="0.45">
      <c r="A292" s="2">
        <v>1091</v>
      </c>
      <c r="B292" s="5" t="s">
        <v>94</v>
      </c>
      <c r="C292" s="5" t="s">
        <v>580</v>
      </c>
      <c r="D292" s="5" t="s">
        <v>585</v>
      </c>
      <c r="E292" s="15">
        <v>39851</v>
      </c>
      <c r="F292" s="4">
        <v>16647</v>
      </c>
      <c r="G292" s="1">
        <f t="shared" ca="1" si="8"/>
        <v>17</v>
      </c>
      <c r="H292" s="3">
        <f t="shared" si="9"/>
        <v>30719</v>
      </c>
    </row>
    <row r="293" spans="1:8" x14ac:dyDescent="0.45">
      <c r="A293" s="2">
        <v>1236</v>
      </c>
      <c r="B293" s="5" t="s">
        <v>239</v>
      </c>
      <c r="C293" s="5" t="s">
        <v>520</v>
      </c>
      <c r="D293" s="5" t="s">
        <v>594</v>
      </c>
      <c r="E293" s="15">
        <v>37040</v>
      </c>
      <c r="F293" s="4">
        <v>3668</v>
      </c>
      <c r="G293" s="1">
        <f t="shared" ca="1" si="8"/>
        <v>25</v>
      </c>
      <c r="H293" s="3">
        <f t="shared" si="9"/>
        <v>27909</v>
      </c>
    </row>
    <row r="294" spans="1:8" ht="15" x14ac:dyDescent="0.45">
      <c r="A294" s="2">
        <v>1076</v>
      </c>
      <c r="B294" s="6" t="s">
        <v>79</v>
      </c>
      <c r="C294" s="5" t="s">
        <v>565</v>
      </c>
      <c r="D294" s="5" t="s">
        <v>585</v>
      </c>
      <c r="E294" s="15">
        <v>39174</v>
      </c>
      <c r="F294" s="4">
        <v>13903</v>
      </c>
      <c r="G294" s="1">
        <f t="shared" ca="1" si="8"/>
        <v>19</v>
      </c>
      <c r="H294" s="3">
        <f t="shared" si="9"/>
        <v>30043</v>
      </c>
    </row>
    <row r="295" spans="1:8" x14ac:dyDescent="0.45">
      <c r="A295" s="2">
        <v>1139</v>
      </c>
      <c r="B295" s="5" t="s">
        <v>142</v>
      </c>
      <c r="C295" s="5" t="s">
        <v>500</v>
      </c>
      <c r="D295" s="5" t="s">
        <v>584</v>
      </c>
      <c r="E295" s="15">
        <v>41939</v>
      </c>
      <c r="F295" s="4">
        <v>3001</v>
      </c>
      <c r="G295" s="1">
        <f t="shared" ca="1" si="8"/>
        <v>11</v>
      </c>
      <c r="H295" s="3">
        <f t="shared" si="9"/>
        <v>32808</v>
      </c>
    </row>
    <row r="296" spans="1:8" x14ac:dyDescent="0.45">
      <c r="A296" s="2">
        <v>1162</v>
      </c>
      <c r="B296" s="5" t="s">
        <v>165</v>
      </c>
      <c r="C296" s="5" t="s">
        <v>569</v>
      </c>
      <c r="D296" s="5" t="s">
        <v>590</v>
      </c>
      <c r="E296" s="15">
        <v>43069</v>
      </c>
      <c r="F296" s="4">
        <v>3839</v>
      </c>
      <c r="G296" s="1">
        <f t="shared" ca="1" si="8"/>
        <v>8</v>
      </c>
      <c r="H296" s="3">
        <f t="shared" si="9"/>
        <v>33938</v>
      </c>
    </row>
    <row r="297" spans="1:8" x14ac:dyDescent="0.45">
      <c r="A297" s="2">
        <v>1379</v>
      </c>
      <c r="B297" s="5" t="s">
        <v>382</v>
      </c>
      <c r="C297" s="5" t="s">
        <v>529</v>
      </c>
      <c r="D297" s="5" t="s">
        <v>584</v>
      </c>
      <c r="E297" s="15">
        <v>41939</v>
      </c>
      <c r="F297" s="4">
        <v>8686</v>
      </c>
      <c r="G297" s="1">
        <f t="shared" ca="1" si="8"/>
        <v>11</v>
      </c>
      <c r="H297" s="3">
        <f t="shared" si="9"/>
        <v>32808</v>
      </c>
    </row>
    <row r="298" spans="1:8" x14ac:dyDescent="0.45">
      <c r="A298" s="2">
        <v>1302</v>
      </c>
      <c r="B298" s="5" t="s">
        <v>305</v>
      </c>
      <c r="C298" s="5" t="s">
        <v>538</v>
      </c>
      <c r="D298" s="5" t="s">
        <v>583</v>
      </c>
      <c r="E298" s="15">
        <v>38350</v>
      </c>
      <c r="F298" s="4">
        <v>9524</v>
      </c>
      <c r="G298" s="1">
        <f t="shared" ca="1" si="8"/>
        <v>21</v>
      </c>
      <c r="H298" s="3">
        <f t="shared" si="9"/>
        <v>29218</v>
      </c>
    </row>
    <row r="299" spans="1:8" x14ac:dyDescent="0.45">
      <c r="A299" s="2">
        <v>1065</v>
      </c>
      <c r="B299" s="5" t="s">
        <v>68</v>
      </c>
      <c r="C299" s="5" t="s">
        <v>554</v>
      </c>
      <c r="D299" s="5" t="s">
        <v>587</v>
      </c>
      <c r="E299" s="15">
        <v>38402</v>
      </c>
      <c r="F299" s="4">
        <v>11836</v>
      </c>
      <c r="G299" s="1">
        <f t="shared" ca="1" si="8"/>
        <v>21</v>
      </c>
      <c r="H299" s="3">
        <f t="shared" si="9"/>
        <v>29270</v>
      </c>
    </row>
    <row r="300" spans="1:8" x14ac:dyDescent="0.45">
      <c r="A300" s="2">
        <v>1116</v>
      </c>
      <c r="B300" s="5" t="s">
        <v>119</v>
      </c>
      <c r="C300" s="5" t="s">
        <v>495</v>
      </c>
      <c r="D300" s="5" t="s">
        <v>584</v>
      </c>
      <c r="E300" s="15">
        <v>40841</v>
      </c>
      <c r="F300" s="4">
        <v>6731</v>
      </c>
      <c r="G300" s="1">
        <f t="shared" ca="1" si="8"/>
        <v>14</v>
      </c>
      <c r="H300" s="3">
        <f t="shared" si="9"/>
        <v>31710</v>
      </c>
    </row>
    <row r="301" spans="1:8" x14ac:dyDescent="0.45">
      <c r="A301" s="2">
        <v>1078</v>
      </c>
      <c r="B301" s="5" t="s">
        <v>81</v>
      </c>
      <c r="C301" s="5" t="s">
        <v>567</v>
      </c>
      <c r="D301" s="5" t="s">
        <v>585</v>
      </c>
      <c r="E301" s="15">
        <v>39236</v>
      </c>
      <c r="F301" s="4">
        <v>13949</v>
      </c>
      <c r="G301" s="1">
        <f t="shared" ca="1" si="8"/>
        <v>19</v>
      </c>
      <c r="H301" s="3">
        <f t="shared" si="9"/>
        <v>30105</v>
      </c>
    </row>
    <row r="302" spans="1:8" x14ac:dyDescent="0.45">
      <c r="A302" s="2">
        <v>1155</v>
      </c>
      <c r="B302" s="5" t="s">
        <v>158</v>
      </c>
      <c r="C302" s="5" t="s">
        <v>500</v>
      </c>
      <c r="D302" s="5" t="s">
        <v>590</v>
      </c>
      <c r="E302" s="15">
        <v>42917</v>
      </c>
      <c r="F302" s="4">
        <v>2541</v>
      </c>
      <c r="G302" s="1">
        <f t="shared" ca="1" si="8"/>
        <v>9</v>
      </c>
      <c r="H302" s="3">
        <f t="shared" si="9"/>
        <v>33786</v>
      </c>
    </row>
    <row r="303" spans="1:8" x14ac:dyDescent="0.45">
      <c r="A303" s="2">
        <v>1008</v>
      </c>
      <c r="B303" s="5" t="s">
        <v>11</v>
      </c>
      <c r="C303" s="5" t="s">
        <v>498</v>
      </c>
      <c r="D303" s="5" t="s">
        <v>585</v>
      </c>
      <c r="E303" s="15">
        <v>36935</v>
      </c>
      <c r="F303" s="4">
        <v>2551</v>
      </c>
      <c r="G303" s="1">
        <f t="shared" ca="1" si="8"/>
        <v>25</v>
      </c>
      <c r="H303" s="3">
        <f t="shared" si="9"/>
        <v>27803</v>
      </c>
    </row>
    <row r="304" spans="1:8" x14ac:dyDescent="0.45">
      <c r="A304" s="2">
        <v>1396</v>
      </c>
      <c r="B304" s="5" t="s">
        <v>399</v>
      </c>
      <c r="C304" s="5" t="s">
        <v>506</v>
      </c>
      <c r="D304" s="5" t="s">
        <v>584</v>
      </c>
      <c r="E304" s="15">
        <v>43399</v>
      </c>
      <c r="F304" s="4">
        <v>8015</v>
      </c>
      <c r="G304" s="1">
        <f t="shared" ca="1" si="8"/>
        <v>7</v>
      </c>
      <c r="H304" s="3">
        <f t="shared" si="9"/>
        <v>34268</v>
      </c>
    </row>
    <row r="305" spans="1:8" x14ac:dyDescent="0.45">
      <c r="A305" s="2">
        <v>1290</v>
      </c>
      <c r="B305" s="5" t="s">
        <v>293</v>
      </c>
      <c r="C305" s="5" t="s">
        <v>538</v>
      </c>
      <c r="D305" s="5" t="s">
        <v>583</v>
      </c>
      <c r="E305" s="15">
        <v>37833</v>
      </c>
      <c r="F305" s="4">
        <v>8467</v>
      </c>
      <c r="G305" s="1">
        <f t="shared" ca="1" si="8"/>
        <v>23</v>
      </c>
      <c r="H305" s="3">
        <f t="shared" si="9"/>
        <v>28702</v>
      </c>
    </row>
    <row r="306" spans="1:8" x14ac:dyDescent="0.45">
      <c r="A306" s="2">
        <v>1081</v>
      </c>
      <c r="B306" s="5" t="s">
        <v>84</v>
      </c>
      <c r="C306" s="5" t="s">
        <v>570</v>
      </c>
      <c r="D306" s="5" t="s">
        <v>585</v>
      </c>
      <c r="E306" s="15">
        <v>39087</v>
      </c>
      <c r="F306" s="4">
        <v>14587</v>
      </c>
      <c r="G306" s="1">
        <f t="shared" ca="1" si="8"/>
        <v>19</v>
      </c>
      <c r="H306" s="3">
        <f t="shared" si="9"/>
        <v>29956</v>
      </c>
    </row>
    <row r="307" spans="1:8" x14ac:dyDescent="0.45">
      <c r="A307" s="2">
        <v>1013</v>
      </c>
      <c r="B307" s="5" t="s">
        <v>16</v>
      </c>
      <c r="C307" s="5" t="s">
        <v>502</v>
      </c>
      <c r="D307" s="5" t="s">
        <v>585</v>
      </c>
      <c r="E307" s="15">
        <v>37140</v>
      </c>
      <c r="F307" s="4">
        <v>3779</v>
      </c>
      <c r="G307" s="1">
        <f t="shared" ca="1" si="8"/>
        <v>24</v>
      </c>
      <c r="H307" s="3">
        <f t="shared" si="9"/>
        <v>28009</v>
      </c>
    </row>
    <row r="308" spans="1:8" x14ac:dyDescent="0.45">
      <c r="A308" s="2">
        <v>1174</v>
      </c>
      <c r="B308" s="5" t="s">
        <v>177</v>
      </c>
      <c r="C308" s="5" t="s">
        <v>501</v>
      </c>
      <c r="D308" s="5" t="s">
        <v>591</v>
      </c>
      <c r="E308" s="15">
        <v>43895</v>
      </c>
      <c r="F308" s="4">
        <v>2541</v>
      </c>
      <c r="G308" s="1">
        <f t="shared" ca="1" si="8"/>
        <v>6</v>
      </c>
      <c r="H308" s="3">
        <f t="shared" si="9"/>
        <v>34763</v>
      </c>
    </row>
    <row r="309" spans="1:8" x14ac:dyDescent="0.45">
      <c r="A309" s="2">
        <v>1233</v>
      </c>
      <c r="B309" s="5" t="s">
        <v>236</v>
      </c>
      <c r="C309" s="5" t="s">
        <v>520</v>
      </c>
      <c r="D309" s="5" t="s">
        <v>594</v>
      </c>
      <c r="E309" s="15">
        <v>36935</v>
      </c>
      <c r="F309" s="4">
        <v>2923</v>
      </c>
      <c r="G309" s="1">
        <f t="shared" ca="1" si="8"/>
        <v>25</v>
      </c>
      <c r="H309" s="3">
        <f t="shared" si="9"/>
        <v>27803</v>
      </c>
    </row>
    <row r="310" spans="1:8" x14ac:dyDescent="0.45">
      <c r="A310" s="2">
        <v>1426</v>
      </c>
      <c r="B310" s="5" t="s">
        <v>429</v>
      </c>
      <c r="C310" s="5" t="s">
        <v>507</v>
      </c>
      <c r="D310" s="5" t="s">
        <v>586</v>
      </c>
      <c r="E310" s="15">
        <v>45215</v>
      </c>
      <c r="F310" s="4">
        <v>8814</v>
      </c>
      <c r="G310" s="1">
        <f t="shared" ca="1" si="8"/>
        <v>2</v>
      </c>
      <c r="H310" s="3">
        <f t="shared" si="9"/>
        <v>36084</v>
      </c>
    </row>
    <row r="311" spans="1:8" x14ac:dyDescent="0.45">
      <c r="A311" s="2">
        <v>1208</v>
      </c>
      <c r="B311" s="5" t="s">
        <v>211</v>
      </c>
      <c r="C311" s="5" t="s">
        <v>511</v>
      </c>
      <c r="D311" s="5" t="s">
        <v>592</v>
      </c>
      <c r="E311" s="15">
        <v>42126</v>
      </c>
      <c r="F311" s="4">
        <v>1712</v>
      </c>
      <c r="G311" s="1">
        <f t="shared" ca="1" si="8"/>
        <v>11</v>
      </c>
      <c r="H311" s="3">
        <f t="shared" si="9"/>
        <v>32995</v>
      </c>
    </row>
    <row r="312" spans="1:8" x14ac:dyDescent="0.45">
      <c r="A312" s="2">
        <v>1427</v>
      </c>
      <c r="B312" s="5" t="s">
        <v>430</v>
      </c>
      <c r="C312" s="5" t="s">
        <v>507</v>
      </c>
      <c r="D312" s="5" t="s">
        <v>586</v>
      </c>
      <c r="E312" s="15">
        <v>45253</v>
      </c>
      <c r="F312" s="4">
        <v>8967</v>
      </c>
      <c r="G312" s="1">
        <f t="shared" ca="1" si="8"/>
        <v>2</v>
      </c>
      <c r="H312" s="3">
        <f t="shared" si="9"/>
        <v>36122</v>
      </c>
    </row>
    <row r="313" spans="1:8" x14ac:dyDescent="0.45">
      <c r="A313" s="2">
        <v>1083</v>
      </c>
      <c r="B313" s="5" t="s">
        <v>86</v>
      </c>
      <c r="C313" s="5" t="s">
        <v>572</v>
      </c>
      <c r="D313" s="5" t="s">
        <v>585</v>
      </c>
      <c r="E313" s="15">
        <v>39181</v>
      </c>
      <c r="F313" s="4">
        <v>15246</v>
      </c>
      <c r="G313" s="1">
        <f t="shared" ca="1" si="8"/>
        <v>19</v>
      </c>
      <c r="H313" s="3">
        <f t="shared" si="9"/>
        <v>30050</v>
      </c>
    </row>
    <row r="314" spans="1:8" x14ac:dyDescent="0.45">
      <c r="A314" s="2">
        <v>1058</v>
      </c>
      <c r="B314" s="5" t="s">
        <v>61</v>
      </c>
      <c r="C314" s="5" t="s">
        <v>547</v>
      </c>
      <c r="D314" s="5" t="s">
        <v>587</v>
      </c>
      <c r="E314" s="15">
        <v>37994</v>
      </c>
      <c r="F314" s="4">
        <v>10512</v>
      </c>
      <c r="G314" s="1">
        <f t="shared" ca="1" si="8"/>
        <v>22</v>
      </c>
      <c r="H314" s="3">
        <f t="shared" si="9"/>
        <v>28863</v>
      </c>
    </row>
    <row r="315" spans="1:8" x14ac:dyDescent="0.45">
      <c r="A315" s="2">
        <v>1437</v>
      </c>
      <c r="B315" s="5" t="s">
        <v>440</v>
      </c>
      <c r="C315" s="5" t="s">
        <v>516</v>
      </c>
      <c r="D315" s="5" t="s">
        <v>586</v>
      </c>
      <c r="E315" s="15">
        <v>42159</v>
      </c>
      <c r="F315" s="4">
        <v>7800</v>
      </c>
      <c r="G315" s="1">
        <f t="shared" ca="1" si="8"/>
        <v>11</v>
      </c>
      <c r="H315" s="3">
        <f t="shared" si="9"/>
        <v>33028</v>
      </c>
    </row>
    <row r="316" spans="1:8" x14ac:dyDescent="0.45">
      <c r="A316" s="2">
        <v>1016</v>
      </c>
      <c r="B316" s="5" t="s">
        <v>19</v>
      </c>
      <c r="C316" s="5" t="s">
        <v>505</v>
      </c>
      <c r="D316" s="5" t="s">
        <v>585</v>
      </c>
      <c r="E316" s="15">
        <v>37531</v>
      </c>
      <c r="F316" s="4">
        <v>4114</v>
      </c>
      <c r="G316" s="1">
        <f t="shared" ca="1" si="8"/>
        <v>23</v>
      </c>
      <c r="H316" s="3">
        <f t="shared" si="9"/>
        <v>28400</v>
      </c>
    </row>
    <row r="317" spans="1:8" x14ac:dyDescent="0.45">
      <c r="A317" s="2">
        <v>1165</v>
      </c>
      <c r="B317" s="5" t="s">
        <v>168</v>
      </c>
      <c r="C317" s="5" t="s">
        <v>501</v>
      </c>
      <c r="D317" s="5" t="s">
        <v>590</v>
      </c>
      <c r="E317" s="15">
        <v>43202</v>
      </c>
      <c r="F317" s="4">
        <v>4348</v>
      </c>
      <c r="G317" s="1">
        <f t="shared" ca="1" si="8"/>
        <v>8</v>
      </c>
      <c r="H317" s="3">
        <f t="shared" si="9"/>
        <v>34071</v>
      </c>
    </row>
    <row r="318" spans="1:8" x14ac:dyDescent="0.45">
      <c r="A318" s="2">
        <v>1435</v>
      </c>
      <c r="B318" s="5" t="s">
        <v>438</v>
      </c>
      <c r="C318" s="5" t="s">
        <v>516</v>
      </c>
      <c r="D318" s="5" t="s">
        <v>586</v>
      </c>
      <c r="E318" s="15">
        <v>42038</v>
      </c>
      <c r="F318" s="4">
        <v>10167</v>
      </c>
      <c r="G318" s="1">
        <f t="shared" ca="1" si="8"/>
        <v>11</v>
      </c>
      <c r="H318" s="3">
        <f t="shared" si="9"/>
        <v>32907</v>
      </c>
    </row>
    <row r="319" spans="1:8" x14ac:dyDescent="0.45">
      <c r="A319" s="2">
        <v>1360</v>
      </c>
      <c r="B319" s="5" t="s">
        <v>363</v>
      </c>
      <c r="C319" s="5" t="s">
        <v>504</v>
      </c>
      <c r="D319" s="5" t="s">
        <v>596</v>
      </c>
      <c r="E319" s="15">
        <v>40897</v>
      </c>
      <c r="F319" s="4">
        <v>8814</v>
      </c>
      <c r="G319" s="1">
        <f t="shared" ca="1" si="8"/>
        <v>14</v>
      </c>
      <c r="H319" s="3">
        <f t="shared" si="9"/>
        <v>31766</v>
      </c>
    </row>
    <row r="320" spans="1:8" x14ac:dyDescent="0.45">
      <c r="A320" s="2">
        <v>1045</v>
      </c>
      <c r="B320" s="5" t="s">
        <v>48</v>
      </c>
      <c r="C320" s="5" t="s">
        <v>534</v>
      </c>
      <c r="D320" s="5" t="s">
        <v>583</v>
      </c>
      <c r="E320" s="15">
        <v>37775</v>
      </c>
      <c r="F320" s="4">
        <v>8967</v>
      </c>
      <c r="G320" s="1">
        <f t="shared" ca="1" si="8"/>
        <v>23</v>
      </c>
      <c r="H320" s="3">
        <f t="shared" si="9"/>
        <v>28644</v>
      </c>
    </row>
    <row r="321" spans="1:8" x14ac:dyDescent="0.45">
      <c r="A321" s="2">
        <v>1274</v>
      </c>
      <c r="B321" s="5" t="s">
        <v>277</v>
      </c>
      <c r="C321" s="5" t="s">
        <v>532</v>
      </c>
      <c r="D321" s="5" t="s">
        <v>583</v>
      </c>
      <c r="E321" s="15">
        <v>37237</v>
      </c>
      <c r="F321" s="4">
        <v>8723</v>
      </c>
      <c r="G321" s="1">
        <f t="shared" ca="1" si="8"/>
        <v>24</v>
      </c>
      <c r="H321" s="3">
        <f t="shared" si="9"/>
        <v>28106</v>
      </c>
    </row>
    <row r="322" spans="1:8" x14ac:dyDescent="0.45">
      <c r="A322" s="2">
        <v>1438</v>
      </c>
      <c r="B322" s="5" t="s">
        <v>441</v>
      </c>
      <c r="C322" s="5" t="s">
        <v>516</v>
      </c>
      <c r="D322" s="5" t="s">
        <v>586</v>
      </c>
      <c r="E322" s="15">
        <v>41839</v>
      </c>
      <c r="F322" s="4">
        <v>8015</v>
      </c>
      <c r="G322" s="1">
        <f t="shared" ref="G322:G385" ca="1" si="10">DATEDIF(E322, TODAY(), "Y")</f>
        <v>12</v>
      </c>
      <c r="H322" s="3">
        <f t="shared" ref="H322:H385" si="11">EDATE(E322, -12*25)</f>
        <v>32708</v>
      </c>
    </row>
    <row r="323" spans="1:8" x14ac:dyDescent="0.45">
      <c r="A323" s="2">
        <v>1272</v>
      </c>
      <c r="B323" s="5" t="s">
        <v>275</v>
      </c>
      <c r="C323" s="5" t="s">
        <v>532</v>
      </c>
      <c r="D323" s="5" t="s">
        <v>583</v>
      </c>
      <c r="E323" s="15">
        <v>36987</v>
      </c>
      <c r="F323" s="4">
        <v>8686</v>
      </c>
      <c r="G323" s="1">
        <f t="shared" ca="1" si="10"/>
        <v>25</v>
      </c>
      <c r="H323" s="3">
        <f t="shared" si="11"/>
        <v>27856</v>
      </c>
    </row>
    <row r="324" spans="1:8" x14ac:dyDescent="0.45">
      <c r="A324" s="2">
        <v>1345</v>
      </c>
      <c r="B324" s="5" t="s">
        <v>348</v>
      </c>
      <c r="C324" s="5" t="s">
        <v>554</v>
      </c>
      <c r="D324" s="5" t="s">
        <v>596</v>
      </c>
      <c r="E324" s="15">
        <v>40396</v>
      </c>
      <c r="F324" s="4">
        <v>9524</v>
      </c>
      <c r="G324" s="1">
        <f t="shared" ca="1" si="10"/>
        <v>16</v>
      </c>
      <c r="H324" s="3">
        <f t="shared" si="11"/>
        <v>31265</v>
      </c>
    </row>
    <row r="325" spans="1:8" x14ac:dyDescent="0.45">
      <c r="A325" s="2">
        <v>1113</v>
      </c>
      <c r="B325" s="5" t="s">
        <v>116</v>
      </c>
      <c r="C325" s="5" t="s">
        <v>495</v>
      </c>
      <c r="D325" s="5" t="s">
        <v>584</v>
      </c>
      <c r="E325" s="15">
        <v>40587</v>
      </c>
      <c r="F325" s="4">
        <v>6075</v>
      </c>
      <c r="G325" s="1">
        <f t="shared" ca="1" si="10"/>
        <v>15</v>
      </c>
      <c r="H325" s="3">
        <f t="shared" si="11"/>
        <v>31456</v>
      </c>
    </row>
    <row r="326" spans="1:8" x14ac:dyDescent="0.45">
      <c r="A326" s="2">
        <v>1447</v>
      </c>
      <c r="B326" s="5" t="s">
        <v>450</v>
      </c>
      <c r="C326" s="5" t="s">
        <v>516</v>
      </c>
      <c r="D326" s="5" t="s">
        <v>586</v>
      </c>
      <c r="E326" s="15">
        <v>42038</v>
      </c>
      <c r="F326" s="4">
        <v>8814</v>
      </c>
      <c r="G326" s="1">
        <f t="shared" ca="1" si="10"/>
        <v>11</v>
      </c>
      <c r="H326" s="3">
        <f t="shared" si="11"/>
        <v>32907</v>
      </c>
    </row>
    <row r="327" spans="1:8" x14ac:dyDescent="0.45">
      <c r="A327" s="2">
        <v>1474</v>
      </c>
      <c r="B327" s="5" t="s">
        <v>477</v>
      </c>
      <c r="C327" s="5" t="s">
        <v>519</v>
      </c>
      <c r="D327" s="5" t="s">
        <v>590</v>
      </c>
      <c r="E327" s="15">
        <v>44043</v>
      </c>
      <c r="F327" s="4">
        <v>9524</v>
      </c>
      <c r="G327" s="1">
        <f t="shared" ca="1" si="10"/>
        <v>6</v>
      </c>
      <c r="H327" s="3">
        <f t="shared" si="11"/>
        <v>34911</v>
      </c>
    </row>
    <row r="328" spans="1:8" x14ac:dyDescent="0.45">
      <c r="A328" s="2">
        <v>1026</v>
      </c>
      <c r="B328" s="5" t="s">
        <v>29</v>
      </c>
      <c r="C328" s="5" t="s">
        <v>515</v>
      </c>
      <c r="D328" s="5" t="s">
        <v>584</v>
      </c>
      <c r="E328" s="15">
        <v>36811</v>
      </c>
      <c r="F328" s="4">
        <v>6072</v>
      </c>
      <c r="G328" s="1">
        <f t="shared" ca="1" si="10"/>
        <v>25</v>
      </c>
      <c r="H328" s="3">
        <f t="shared" si="11"/>
        <v>27679</v>
      </c>
    </row>
    <row r="329" spans="1:8" x14ac:dyDescent="0.45">
      <c r="A329" s="2">
        <v>1082</v>
      </c>
      <c r="B329" s="5" t="s">
        <v>85</v>
      </c>
      <c r="C329" s="5" t="s">
        <v>571</v>
      </c>
      <c r="D329" s="5" t="s">
        <v>585</v>
      </c>
      <c r="E329" s="15">
        <v>39231</v>
      </c>
      <c r="F329" s="4">
        <v>14645</v>
      </c>
      <c r="G329" s="1">
        <f t="shared" ca="1" si="10"/>
        <v>19</v>
      </c>
      <c r="H329" s="3">
        <f t="shared" si="11"/>
        <v>30100</v>
      </c>
    </row>
    <row r="330" spans="1:8" x14ac:dyDescent="0.45">
      <c r="A330" s="2">
        <v>1048</v>
      </c>
      <c r="B330" s="5" t="s">
        <v>51</v>
      </c>
      <c r="C330" s="5" t="s">
        <v>537</v>
      </c>
      <c r="D330" s="5" t="s">
        <v>583</v>
      </c>
      <c r="E330" s="15">
        <v>37816</v>
      </c>
      <c r="F330" s="4">
        <v>9128</v>
      </c>
      <c r="G330" s="1">
        <f t="shared" ca="1" si="10"/>
        <v>23</v>
      </c>
      <c r="H330" s="3">
        <f t="shared" si="11"/>
        <v>28685</v>
      </c>
    </row>
    <row r="331" spans="1:8" x14ac:dyDescent="0.45">
      <c r="A331" s="2">
        <v>1093</v>
      </c>
      <c r="B331" s="5" t="s">
        <v>96</v>
      </c>
      <c r="C331" s="5" t="s">
        <v>582</v>
      </c>
      <c r="D331" s="5" t="s">
        <v>584</v>
      </c>
      <c r="E331" s="15">
        <v>40053</v>
      </c>
      <c r="F331" s="4">
        <v>18059</v>
      </c>
      <c r="G331" s="1">
        <f t="shared" ca="1" si="10"/>
        <v>16</v>
      </c>
      <c r="H331" s="3">
        <f t="shared" si="11"/>
        <v>30922</v>
      </c>
    </row>
    <row r="332" spans="1:8" x14ac:dyDescent="0.45">
      <c r="A332" s="2">
        <v>1483</v>
      </c>
      <c r="B332" s="5" t="s">
        <v>486</v>
      </c>
      <c r="C332" s="5" t="s">
        <v>530</v>
      </c>
      <c r="D332" s="5" t="s">
        <v>583</v>
      </c>
      <c r="E332" s="15">
        <v>44705</v>
      </c>
      <c r="F332" s="4">
        <v>8413</v>
      </c>
      <c r="G332" s="1">
        <f t="shared" ca="1" si="10"/>
        <v>4</v>
      </c>
      <c r="H332" s="3">
        <f t="shared" si="11"/>
        <v>35574</v>
      </c>
    </row>
    <row r="333" spans="1:8" x14ac:dyDescent="0.45">
      <c r="A333" s="2">
        <v>1022</v>
      </c>
      <c r="B333" s="5" t="s">
        <v>25</v>
      </c>
      <c r="C333" s="5" t="s">
        <v>511</v>
      </c>
      <c r="D333" s="5" t="s">
        <v>584</v>
      </c>
      <c r="E333" s="15">
        <v>36632</v>
      </c>
      <c r="F333" s="4">
        <v>4849</v>
      </c>
      <c r="G333" s="1">
        <f t="shared" ca="1" si="10"/>
        <v>26</v>
      </c>
      <c r="H333" s="3">
        <f t="shared" si="11"/>
        <v>27500</v>
      </c>
    </row>
    <row r="334" spans="1:8" x14ac:dyDescent="0.45">
      <c r="A334" s="2">
        <v>1421</v>
      </c>
      <c r="B334" s="5" t="s">
        <v>424</v>
      </c>
      <c r="C334" s="5" t="s">
        <v>507</v>
      </c>
      <c r="D334" s="5" t="s">
        <v>586</v>
      </c>
      <c r="E334" s="15">
        <v>44815</v>
      </c>
      <c r="F334" s="4">
        <v>8555</v>
      </c>
      <c r="G334" s="1">
        <f t="shared" ca="1" si="10"/>
        <v>3</v>
      </c>
      <c r="H334" s="3">
        <f t="shared" si="11"/>
        <v>35684</v>
      </c>
    </row>
    <row r="335" spans="1:8" x14ac:dyDescent="0.45">
      <c r="A335" s="2">
        <v>1242</v>
      </c>
      <c r="B335" s="5" t="s">
        <v>245</v>
      </c>
      <c r="C335" s="5" t="s">
        <v>520</v>
      </c>
      <c r="D335" s="5" t="s">
        <v>594</v>
      </c>
      <c r="E335" s="15">
        <v>37383</v>
      </c>
      <c r="F335" s="4">
        <v>4539</v>
      </c>
      <c r="G335" s="1">
        <f t="shared" ca="1" si="10"/>
        <v>24</v>
      </c>
      <c r="H335" s="3">
        <f t="shared" si="11"/>
        <v>28252</v>
      </c>
    </row>
    <row r="336" spans="1:8" x14ac:dyDescent="0.45">
      <c r="A336" s="2">
        <v>1140</v>
      </c>
      <c r="B336" s="5" t="s">
        <v>143</v>
      </c>
      <c r="C336" s="5" t="s">
        <v>500</v>
      </c>
      <c r="D336" s="5" t="s">
        <v>584</v>
      </c>
      <c r="E336" s="15">
        <v>42126</v>
      </c>
      <c r="F336" s="4">
        <v>3332</v>
      </c>
      <c r="G336" s="1">
        <f t="shared" ca="1" si="10"/>
        <v>11</v>
      </c>
      <c r="H336" s="3">
        <f t="shared" si="11"/>
        <v>32995</v>
      </c>
    </row>
    <row r="337" spans="1:8" x14ac:dyDescent="0.45">
      <c r="A337" s="2">
        <v>1224</v>
      </c>
      <c r="B337" s="5" t="s">
        <v>227</v>
      </c>
      <c r="C337" s="5" t="s">
        <v>520</v>
      </c>
      <c r="D337" s="5" t="s">
        <v>593</v>
      </c>
      <c r="E337" s="15">
        <v>43865</v>
      </c>
      <c r="F337" s="4">
        <v>4570</v>
      </c>
      <c r="G337" s="1">
        <f t="shared" ca="1" si="10"/>
        <v>6</v>
      </c>
      <c r="H337" s="3">
        <f t="shared" si="11"/>
        <v>34734</v>
      </c>
    </row>
    <row r="338" spans="1:8" x14ac:dyDescent="0.45">
      <c r="A338" s="2">
        <v>1157</v>
      </c>
      <c r="B338" s="5" t="s">
        <v>160</v>
      </c>
      <c r="C338" s="5" t="s">
        <v>500</v>
      </c>
      <c r="D338" s="5" t="s">
        <v>590</v>
      </c>
      <c r="E338" s="15">
        <v>42753</v>
      </c>
      <c r="F338" s="4">
        <v>2923</v>
      </c>
      <c r="G338" s="1">
        <f t="shared" ca="1" si="10"/>
        <v>9</v>
      </c>
      <c r="H338" s="3">
        <f t="shared" si="11"/>
        <v>33621</v>
      </c>
    </row>
    <row r="339" spans="1:8" x14ac:dyDescent="0.45">
      <c r="A339" s="2">
        <v>1476</v>
      </c>
      <c r="B339" s="5" t="s">
        <v>479</v>
      </c>
      <c r="C339" s="5" t="s">
        <v>526</v>
      </c>
      <c r="D339" s="5" t="s">
        <v>590</v>
      </c>
      <c r="E339" s="15">
        <v>44099</v>
      </c>
      <c r="F339" s="4">
        <v>10109</v>
      </c>
      <c r="G339" s="1">
        <f t="shared" ca="1" si="10"/>
        <v>5</v>
      </c>
      <c r="H339" s="3">
        <f t="shared" si="11"/>
        <v>34967</v>
      </c>
    </row>
    <row r="340" spans="1:8" x14ac:dyDescent="0.45">
      <c r="A340" s="2">
        <v>1159</v>
      </c>
      <c r="B340" s="5" t="s">
        <v>162</v>
      </c>
      <c r="C340" s="5" t="s">
        <v>500</v>
      </c>
      <c r="D340" s="5" t="s">
        <v>590</v>
      </c>
      <c r="E340" s="15">
        <v>42859</v>
      </c>
      <c r="F340" s="4">
        <v>3332</v>
      </c>
      <c r="G340" s="1">
        <f t="shared" ca="1" si="10"/>
        <v>9</v>
      </c>
      <c r="H340" s="3">
        <f t="shared" si="11"/>
        <v>33728</v>
      </c>
    </row>
    <row r="341" spans="1:8" x14ac:dyDescent="0.45">
      <c r="A341" s="2">
        <v>1392</v>
      </c>
      <c r="B341" s="5" t="s">
        <v>395</v>
      </c>
      <c r="C341" s="5" t="s">
        <v>506</v>
      </c>
      <c r="D341" s="5" t="s">
        <v>584</v>
      </c>
      <c r="E341" s="15">
        <v>43008</v>
      </c>
      <c r="F341" s="4">
        <v>10109</v>
      </c>
      <c r="G341" s="1">
        <f t="shared" ca="1" si="10"/>
        <v>8</v>
      </c>
      <c r="H341" s="3">
        <f t="shared" si="11"/>
        <v>33877</v>
      </c>
    </row>
    <row r="342" spans="1:8" x14ac:dyDescent="0.45">
      <c r="A342" s="2">
        <v>1245</v>
      </c>
      <c r="B342" s="5" t="s">
        <v>248</v>
      </c>
      <c r="C342" s="5" t="s">
        <v>520</v>
      </c>
      <c r="D342" s="5" t="s">
        <v>594</v>
      </c>
      <c r="E342" s="15">
        <v>36800</v>
      </c>
      <c r="F342" s="4">
        <v>1500</v>
      </c>
      <c r="G342" s="1">
        <f t="shared" ca="1" si="10"/>
        <v>25</v>
      </c>
      <c r="H342" s="3">
        <f t="shared" si="11"/>
        <v>27668</v>
      </c>
    </row>
    <row r="343" spans="1:8" x14ac:dyDescent="0.45">
      <c r="A343" s="2">
        <v>1088</v>
      </c>
      <c r="B343" s="5" t="s">
        <v>91</v>
      </c>
      <c r="C343" s="5" t="s">
        <v>577</v>
      </c>
      <c r="D343" s="5" t="s">
        <v>585</v>
      </c>
      <c r="E343" s="15">
        <v>40026</v>
      </c>
      <c r="F343" s="4">
        <v>16357</v>
      </c>
      <c r="G343" s="1">
        <f t="shared" ca="1" si="10"/>
        <v>17</v>
      </c>
      <c r="H343" s="3">
        <f t="shared" si="11"/>
        <v>30895</v>
      </c>
    </row>
    <row r="344" spans="1:8" x14ac:dyDescent="0.45">
      <c r="A344" s="2">
        <v>1485</v>
      </c>
      <c r="B344" s="5" t="s">
        <v>488</v>
      </c>
      <c r="C344" s="5" t="s">
        <v>530</v>
      </c>
      <c r="D344" s="5" t="s">
        <v>583</v>
      </c>
      <c r="E344" s="15">
        <v>44570</v>
      </c>
      <c r="F344" s="4">
        <v>8365</v>
      </c>
      <c r="G344" s="1">
        <f t="shared" ca="1" si="10"/>
        <v>4</v>
      </c>
      <c r="H344" s="3">
        <f t="shared" si="11"/>
        <v>35439</v>
      </c>
    </row>
    <row r="345" spans="1:8" x14ac:dyDescent="0.45">
      <c r="A345" s="2">
        <v>1019</v>
      </c>
      <c r="B345" s="5" t="s">
        <v>22</v>
      </c>
      <c r="C345" s="5" t="s">
        <v>508</v>
      </c>
      <c r="D345" s="5" t="s">
        <v>583</v>
      </c>
      <c r="E345" s="15">
        <v>37490</v>
      </c>
      <c r="F345" s="4">
        <v>4570</v>
      </c>
      <c r="G345" s="1">
        <f t="shared" ca="1" si="10"/>
        <v>23</v>
      </c>
      <c r="H345" s="3">
        <f t="shared" si="11"/>
        <v>28359</v>
      </c>
    </row>
    <row r="346" spans="1:8" x14ac:dyDescent="0.45">
      <c r="A346" s="2">
        <v>1101</v>
      </c>
      <c r="B346" s="5" t="s">
        <v>104</v>
      </c>
      <c r="C346" s="5" t="s">
        <v>491</v>
      </c>
      <c r="D346" s="5" t="s">
        <v>584</v>
      </c>
      <c r="E346" s="15">
        <v>40259</v>
      </c>
      <c r="F346" s="4">
        <v>19890</v>
      </c>
      <c r="G346" s="1">
        <f t="shared" ca="1" si="10"/>
        <v>16</v>
      </c>
      <c r="H346" s="3">
        <f t="shared" si="11"/>
        <v>31128</v>
      </c>
    </row>
    <row r="347" spans="1:8" x14ac:dyDescent="0.45">
      <c r="A347" s="2">
        <v>1293</v>
      </c>
      <c r="B347" s="5" t="s">
        <v>296</v>
      </c>
      <c r="C347" s="5" t="s">
        <v>538</v>
      </c>
      <c r="D347" s="5" t="s">
        <v>583</v>
      </c>
      <c r="E347" s="15">
        <v>38015</v>
      </c>
      <c r="F347" s="4">
        <v>8686</v>
      </c>
      <c r="G347" s="1">
        <f t="shared" ca="1" si="10"/>
        <v>22</v>
      </c>
      <c r="H347" s="3">
        <f t="shared" si="11"/>
        <v>28884</v>
      </c>
    </row>
    <row r="348" spans="1:8" x14ac:dyDescent="0.45">
      <c r="A348" s="2">
        <v>1235</v>
      </c>
      <c r="B348" s="5" t="s">
        <v>238</v>
      </c>
      <c r="C348" s="5" t="s">
        <v>520</v>
      </c>
      <c r="D348" s="5" t="s">
        <v>594</v>
      </c>
      <c r="E348" s="15">
        <v>36955</v>
      </c>
      <c r="F348" s="4">
        <v>3332</v>
      </c>
      <c r="G348" s="1">
        <f t="shared" ca="1" si="10"/>
        <v>25</v>
      </c>
      <c r="H348" s="3">
        <f t="shared" si="11"/>
        <v>27824</v>
      </c>
    </row>
    <row r="349" spans="1:8" x14ac:dyDescent="0.45">
      <c r="A349" s="2">
        <v>1422</v>
      </c>
      <c r="B349" s="5" t="s">
        <v>425</v>
      </c>
      <c r="C349" s="5" t="s">
        <v>507</v>
      </c>
      <c r="D349" s="5" t="s">
        <v>586</v>
      </c>
      <c r="E349" s="15">
        <v>44949</v>
      </c>
      <c r="F349" s="4">
        <v>8664</v>
      </c>
      <c r="G349" s="1">
        <f t="shared" ca="1" si="10"/>
        <v>3</v>
      </c>
      <c r="H349" s="3">
        <f t="shared" si="11"/>
        <v>35818</v>
      </c>
    </row>
    <row r="350" spans="1:8" x14ac:dyDescent="0.45">
      <c r="A350" s="2">
        <v>1212</v>
      </c>
      <c r="B350" s="5" t="s">
        <v>215</v>
      </c>
      <c r="C350" s="5" t="s">
        <v>511</v>
      </c>
      <c r="D350" s="5" t="s">
        <v>593</v>
      </c>
      <c r="E350" s="15">
        <v>41839</v>
      </c>
      <c r="F350" s="4">
        <v>2541</v>
      </c>
      <c r="G350" s="1">
        <f t="shared" ca="1" si="10"/>
        <v>12</v>
      </c>
      <c r="H350" s="3">
        <f t="shared" si="11"/>
        <v>32708</v>
      </c>
    </row>
    <row r="351" spans="1:8" x14ac:dyDescent="0.45">
      <c r="A351" s="2">
        <v>1173</v>
      </c>
      <c r="B351" s="5" t="s">
        <v>176</v>
      </c>
      <c r="C351" s="5" t="s">
        <v>501</v>
      </c>
      <c r="D351" s="5" t="s">
        <v>591</v>
      </c>
      <c r="E351" s="15">
        <v>43865</v>
      </c>
      <c r="F351" s="4">
        <v>2476</v>
      </c>
      <c r="G351" s="1">
        <f t="shared" ca="1" si="10"/>
        <v>6</v>
      </c>
      <c r="H351" s="3">
        <f t="shared" si="11"/>
        <v>34734</v>
      </c>
    </row>
    <row r="352" spans="1:8" x14ac:dyDescent="0.45">
      <c r="A352" s="2">
        <v>1133</v>
      </c>
      <c r="B352" s="5" t="s">
        <v>136</v>
      </c>
      <c r="C352" s="5" t="s">
        <v>492</v>
      </c>
      <c r="D352" s="5" t="s">
        <v>584</v>
      </c>
      <c r="E352" s="15">
        <v>41564</v>
      </c>
      <c r="F352" s="4">
        <v>2319</v>
      </c>
      <c r="G352" s="1">
        <f t="shared" ca="1" si="10"/>
        <v>12</v>
      </c>
      <c r="H352" s="3">
        <f t="shared" si="11"/>
        <v>32433</v>
      </c>
    </row>
    <row r="353" spans="1:8" x14ac:dyDescent="0.45">
      <c r="A353" s="2">
        <v>1164</v>
      </c>
      <c r="B353" s="5" t="s">
        <v>167</v>
      </c>
      <c r="C353" s="5" t="s">
        <v>501</v>
      </c>
      <c r="D353" s="5" t="s">
        <v>590</v>
      </c>
      <c r="E353" s="15">
        <v>43399</v>
      </c>
      <c r="F353" s="4">
        <v>4114</v>
      </c>
      <c r="G353" s="1">
        <f t="shared" ca="1" si="10"/>
        <v>7</v>
      </c>
      <c r="H353" s="3">
        <f t="shared" si="11"/>
        <v>34268</v>
      </c>
    </row>
    <row r="354" spans="1:8" x14ac:dyDescent="0.45">
      <c r="A354" s="2">
        <v>1265</v>
      </c>
      <c r="B354" s="5" t="s">
        <v>268</v>
      </c>
      <c r="C354" s="5" t="s">
        <v>532</v>
      </c>
      <c r="D354" s="5" t="s">
        <v>587</v>
      </c>
      <c r="E354" s="15">
        <v>36714</v>
      </c>
      <c r="F354" s="4">
        <v>7800</v>
      </c>
      <c r="G354" s="1">
        <f t="shared" ca="1" si="10"/>
        <v>26</v>
      </c>
      <c r="H354" s="3">
        <f t="shared" si="11"/>
        <v>27582</v>
      </c>
    </row>
    <row r="355" spans="1:8" x14ac:dyDescent="0.45">
      <c r="A355" s="2">
        <v>1191</v>
      </c>
      <c r="B355" s="5" t="s">
        <v>194</v>
      </c>
      <c r="C355" s="5" t="s">
        <v>571</v>
      </c>
      <c r="D355" s="5" t="s">
        <v>592</v>
      </c>
      <c r="E355" s="15">
        <v>45005</v>
      </c>
      <c r="F355" s="4">
        <v>2369</v>
      </c>
      <c r="G355" s="1">
        <f t="shared" ca="1" si="10"/>
        <v>3</v>
      </c>
      <c r="H355" s="3">
        <f t="shared" si="11"/>
        <v>35874</v>
      </c>
    </row>
    <row r="356" spans="1:8" x14ac:dyDescent="0.45">
      <c r="A356" s="2">
        <v>1183</v>
      </c>
      <c r="B356" s="5" t="s">
        <v>186</v>
      </c>
      <c r="C356" s="5" t="s">
        <v>501</v>
      </c>
      <c r="D356" s="5" t="s">
        <v>591</v>
      </c>
      <c r="E356" s="15">
        <v>44208</v>
      </c>
      <c r="F356" s="4">
        <v>4114</v>
      </c>
      <c r="G356" s="1">
        <f t="shared" ca="1" si="10"/>
        <v>5</v>
      </c>
      <c r="H356" s="3">
        <f t="shared" si="11"/>
        <v>35076</v>
      </c>
    </row>
    <row r="357" spans="1:8" x14ac:dyDescent="0.45">
      <c r="A357" s="2">
        <v>1342</v>
      </c>
      <c r="B357" s="5" t="s">
        <v>345</v>
      </c>
      <c r="C357" s="5" t="s">
        <v>554</v>
      </c>
      <c r="D357" s="5" t="s">
        <v>596</v>
      </c>
      <c r="E357" s="15">
        <v>40394</v>
      </c>
      <c r="F357" s="4">
        <v>9123</v>
      </c>
      <c r="G357" s="1">
        <f t="shared" ca="1" si="10"/>
        <v>16</v>
      </c>
      <c r="H357" s="3">
        <f t="shared" si="11"/>
        <v>31263</v>
      </c>
    </row>
    <row r="358" spans="1:8" x14ac:dyDescent="0.45">
      <c r="A358" s="2">
        <v>1250</v>
      </c>
      <c r="B358" s="5" t="s">
        <v>253</v>
      </c>
      <c r="C358" s="5" t="s">
        <v>520</v>
      </c>
      <c r="D358" s="5" t="s">
        <v>587</v>
      </c>
      <c r="E358" s="15">
        <v>36845</v>
      </c>
      <c r="F358" s="4">
        <v>2476</v>
      </c>
      <c r="G358" s="1">
        <f t="shared" ca="1" si="10"/>
        <v>25</v>
      </c>
      <c r="H358" s="3">
        <f t="shared" si="11"/>
        <v>27713</v>
      </c>
    </row>
    <row r="359" spans="1:8" x14ac:dyDescent="0.45">
      <c r="A359" s="2">
        <v>1059</v>
      </c>
      <c r="B359" s="5" t="s">
        <v>62</v>
      </c>
      <c r="C359" s="5" t="s">
        <v>548</v>
      </c>
      <c r="D359" s="5" t="s">
        <v>587</v>
      </c>
      <c r="E359" s="15">
        <v>38146</v>
      </c>
      <c r="F359" s="4">
        <v>10605</v>
      </c>
      <c r="G359" s="1">
        <f t="shared" ca="1" si="10"/>
        <v>22</v>
      </c>
      <c r="H359" s="3">
        <f t="shared" si="11"/>
        <v>29014</v>
      </c>
    </row>
    <row r="360" spans="1:8" x14ac:dyDescent="0.45">
      <c r="A360" s="2">
        <v>1039</v>
      </c>
      <c r="B360" s="5" t="s">
        <v>42</v>
      </c>
      <c r="C360" s="5" t="s">
        <v>528</v>
      </c>
      <c r="D360" s="5" t="s">
        <v>586</v>
      </c>
      <c r="E360" s="15">
        <v>37418</v>
      </c>
      <c r="F360" s="4">
        <v>8555</v>
      </c>
      <c r="G360" s="1">
        <f t="shared" ca="1" si="10"/>
        <v>24</v>
      </c>
      <c r="H360" s="3">
        <f t="shared" si="11"/>
        <v>28287</v>
      </c>
    </row>
    <row r="361" spans="1:8" x14ac:dyDescent="0.45">
      <c r="A361" s="2">
        <v>1374</v>
      </c>
      <c r="B361" s="5" t="s">
        <v>377</v>
      </c>
      <c r="C361" s="5" t="s">
        <v>529</v>
      </c>
      <c r="D361" s="5" t="s">
        <v>584</v>
      </c>
      <c r="E361" s="15">
        <v>41633</v>
      </c>
      <c r="F361" s="4">
        <v>8365</v>
      </c>
      <c r="G361" s="1">
        <f t="shared" ca="1" si="10"/>
        <v>12</v>
      </c>
      <c r="H361" s="3">
        <f t="shared" si="11"/>
        <v>32502</v>
      </c>
    </row>
    <row r="362" spans="1:8" x14ac:dyDescent="0.45">
      <c r="A362" s="2">
        <v>1043</v>
      </c>
      <c r="B362" s="5" t="s">
        <v>46</v>
      </c>
      <c r="C362" s="5" t="s">
        <v>532</v>
      </c>
      <c r="D362" s="5" t="s">
        <v>583</v>
      </c>
      <c r="E362" s="15">
        <v>37804</v>
      </c>
      <c r="F362" s="4">
        <v>8723</v>
      </c>
      <c r="G362" s="1">
        <f t="shared" ca="1" si="10"/>
        <v>23</v>
      </c>
      <c r="H362" s="3">
        <f t="shared" si="11"/>
        <v>28673</v>
      </c>
    </row>
    <row r="363" spans="1:8" x14ac:dyDescent="0.45">
      <c r="A363" s="2">
        <v>1308</v>
      </c>
      <c r="B363" s="5" t="s">
        <v>311</v>
      </c>
      <c r="C363" s="5" t="s">
        <v>553</v>
      </c>
      <c r="D363" s="5" t="s">
        <v>595</v>
      </c>
      <c r="E363" s="15">
        <v>38586</v>
      </c>
      <c r="F363" s="4">
        <v>8015</v>
      </c>
      <c r="G363" s="1">
        <f t="shared" ca="1" si="10"/>
        <v>20</v>
      </c>
      <c r="H363" s="3">
        <f t="shared" si="11"/>
        <v>29455</v>
      </c>
    </row>
    <row r="364" spans="1:8" x14ac:dyDescent="0.45">
      <c r="A364" s="2">
        <v>1472</v>
      </c>
      <c r="B364" s="5" t="s">
        <v>475</v>
      </c>
      <c r="C364" s="5" t="s">
        <v>519</v>
      </c>
      <c r="D364" s="5" t="s">
        <v>590</v>
      </c>
      <c r="E364" s="15">
        <v>43895</v>
      </c>
      <c r="F364" s="4">
        <v>9128</v>
      </c>
      <c r="G364" s="1">
        <f t="shared" ca="1" si="10"/>
        <v>6</v>
      </c>
      <c r="H364" s="3">
        <f t="shared" si="11"/>
        <v>34763</v>
      </c>
    </row>
    <row r="365" spans="1:8" x14ac:dyDescent="0.45">
      <c r="A365" s="2">
        <v>1478</v>
      </c>
      <c r="B365" s="5" t="s">
        <v>481</v>
      </c>
      <c r="C365" s="5" t="s">
        <v>530</v>
      </c>
      <c r="D365" s="5" t="s">
        <v>590</v>
      </c>
      <c r="E365" s="15">
        <v>44313</v>
      </c>
      <c r="F365" s="4">
        <v>8015</v>
      </c>
      <c r="G365" s="1">
        <f t="shared" ca="1" si="10"/>
        <v>5</v>
      </c>
      <c r="H365" s="3">
        <f t="shared" si="11"/>
        <v>35182</v>
      </c>
    </row>
    <row r="366" spans="1:8" ht="15" x14ac:dyDescent="0.45">
      <c r="A366" s="2">
        <v>1068</v>
      </c>
      <c r="B366" s="6" t="s">
        <v>71</v>
      </c>
      <c r="C366" s="5" t="s">
        <v>557</v>
      </c>
      <c r="D366" s="5" t="s">
        <v>587</v>
      </c>
      <c r="E366" s="15">
        <v>38586</v>
      </c>
      <c r="F366" s="4">
        <v>12649</v>
      </c>
      <c r="G366" s="1">
        <f t="shared" ca="1" si="10"/>
        <v>20</v>
      </c>
      <c r="H366" s="3">
        <f t="shared" si="11"/>
        <v>29455</v>
      </c>
    </row>
    <row r="367" spans="1:8" x14ac:dyDescent="0.45">
      <c r="A367" s="2">
        <v>1137</v>
      </c>
      <c r="B367" s="5" t="s">
        <v>140</v>
      </c>
      <c r="C367" s="5" t="s">
        <v>500</v>
      </c>
      <c r="D367" s="5" t="s">
        <v>584</v>
      </c>
      <c r="E367" s="15">
        <v>41836</v>
      </c>
      <c r="F367" s="4">
        <v>2551</v>
      </c>
      <c r="G367" s="1">
        <f t="shared" ca="1" si="10"/>
        <v>12</v>
      </c>
      <c r="H367" s="3">
        <f t="shared" si="11"/>
        <v>32705</v>
      </c>
    </row>
    <row r="368" spans="1:8" x14ac:dyDescent="0.45">
      <c r="A368" s="2">
        <v>1077</v>
      </c>
      <c r="B368" s="5" t="s">
        <v>80</v>
      </c>
      <c r="C368" s="5" t="s">
        <v>566</v>
      </c>
      <c r="D368" s="5" t="s">
        <v>585</v>
      </c>
      <c r="E368" s="15">
        <v>39141</v>
      </c>
      <c r="F368" s="4">
        <v>13933</v>
      </c>
      <c r="G368" s="1">
        <f t="shared" ca="1" si="10"/>
        <v>19</v>
      </c>
      <c r="H368" s="3">
        <f t="shared" si="11"/>
        <v>30010</v>
      </c>
    </row>
    <row r="369" spans="1:8" x14ac:dyDescent="0.45">
      <c r="A369" s="2">
        <v>1354</v>
      </c>
      <c r="B369" s="5" t="s">
        <v>357</v>
      </c>
      <c r="C369" s="5" t="s">
        <v>554</v>
      </c>
      <c r="D369" s="5" t="s">
        <v>596</v>
      </c>
      <c r="E369" s="15">
        <v>40881</v>
      </c>
      <c r="F369" s="4">
        <v>8467</v>
      </c>
      <c r="G369" s="1">
        <f t="shared" ca="1" si="10"/>
        <v>14</v>
      </c>
      <c r="H369" s="3">
        <f t="shared" si="11"/>
        <v>31750</v>
      </c>
    </row>
    <row r="370" spans="1:8" x14ac:dyDescent="0.45">
      <c r="A370" s="2">
        <v>1020</v>
      </c>
      <c r="B370" s="5" t="s">
        <v>23</v>
      </c>
      <c r="C370" s="5" t="s">
        <v>509</v>
      </c>
      <c r="D370" s="5" t="s">
        <v>584</v>
      </c>
      <c r="E370" s="15">
        <v>36800</v>
      </c>
      <c r="F370" s="4">
        <v>4669</v>
      </c>
      <c r="G370" s="1">
        <f t="shared" ca="1" si="10"/>
        <v>25</v>
      </c>
      <c r="H370" s="3">
        <f t="shared" si="11"/>
        <v>27668</v>
      </c>
    </row>
    <row r="371" spans="1:8" x14ac:dyDescent="0.45">
      <c r="A371" s="2">
        <v>1463</v>
      </c>
      <c r="B371" s="5" t="s">
        <v>466</v>
      </c>
      <c r="C371" s="5" t="s">
        <v>518</v>
      </c>
      <c r="D371" s="5" t="s">
        <v>590</v>
      </c>
      <c r="E371" s="15">
        <v>43202</v>
      </c>
      <c r="F371" s="4">
        <v>8555</v>
      </c>
      <c r="G371" s="1">
        <f t="shared" ca="1" si="10"/>
        <v>8</v>
      </c>
      <c r="H371" s="3">
        <f t="shared" si="11"/>
        <v>34071</v>
      </c>
    </row>
    <row r="372" spans="1:8" x14ac:dyDescent="0.45">
      <c r="A372" s="2">
        <v>1314</v>
      </c>
      <c r="B372" s="5" t="s">
        <v>317</v>
      </c>
      <c r="C372" s="5" t="s">
        <v>553</v>
      </c>
      <c r="D372" s="5" t="s">
        <v>595</v>
      </c>
      <c r="E372" s="15">
        <v>38971</v>
      </c>
      <c r="F372" s="4">
        <v>8686</v>
      </c>
      <c r="G372" s="1">
        <f t="shared" ca="1" si="10"/>
        <v>19</v>
      </c>
      <c r="H372" s="3">
        <f t="shared" si="11"/>
        <v>29840</v>
      </c>
    </row>
    <row r="373" spans="1:8" x14ac:dyDescent="0.45">
      <c r="A373" s="2">
        <v>1182</v>
      </c>
      <c r="B373" s="5" t="s">
        <v>185</v>
      </c>
      <c r="C373" s="5" t="s">
        <v>501</v>
      </c>
      <c r="D373" s="5" t="s">
        <v>591</v>
      </c>
      <c r="E373" s="15">
        <v>44488</v>
      </c>
      <c r="F373" s="4">
        <v>4082</v>
      </c>
      <c r="G373" s="1">
        <f t="shared" ca="1" si="10"/>
        <v>4</v>
      </c>
      <c r="H373" s="3">
        <f t="shared" si="11"/>
        <v>35357</v>
      </c>
    </row>
    <row r="374" spans="1:8" x14ac:dyDescent="0.45">
      <c r="A374" s="2">
        <v>1018</v>
      </c>
      <c r="B374" s="5" t="s">
        <v>21</v>
      </c>
      <c r="C374" s="5" t="s">
        <v>507</v>
      </c>
      <c r="D374" s="5" t="s">
        <v>583</v>
      </c>
      <c r="E374" s="15">
        <v>37445</v>
      </c>
      <c r="F374" s="4">
        <v>4539</v>
      </c>
      <c r="G374" s="1">
        <f t="shared" ca="1" si="10"/>
        <v>24</v>
      </c>
      <c r="H374" s="3">
        <f t="shared" si="11"/>
        <v>28314</v>
      </c>
    </row>
    <row r="375" spans="1:8" x14ac:dyDescent="0.45">
      <c r="A375" s="2">
        <v>1361</v>
      </c>
      <c r="B375" s="5" t="s">
        <v>364</v>
      </c>
      <c r="C375" s="5" t="s">
        <v>504</v>
      </c>
      <c r="D375" s="5" t="s">
        <v>596</v>
      </c>
      <c r="E375" s="15">
        <v>40900</v>
      </c>
      <c r="F375" s="4">
        <v>8967</v>
      </c>
      <c r="G375" s="1">
        <f t="shared" ca="1" si="10"/>
        <v>14</v>
      </c>
      <c r="H375" s="3">
        <f t="shared" si="11"/>
        <v>31769</v>
      </c>
    </row>
    <row r="376" spans="1:8" x14ac:dyDescent="0.45">
      <c r="A376" s="2">
        <v>1204</v>
      </c>
      <c r="B376" s="5" t="s">
        <v>207</v>
      </c>
      <c r="C376" s="5" t="s">
        <v>511</v>
      </c>
      <c r="D376" s="5" t="s">
        <v>592</v>
      </c>
      <c r="E376" s="15">
        <v>42128</v>
      </c>
      <c r="F376" s="4">
        <v>4539</v>
      </c>
      <c r="G376" s="1">
        <f t="shared" ca="1" si="10"/>
        <v>11</v>
      </c>
      <c r="H376" s="3">
        <f t="shared" si="11"/>
        <v>32997</v>
      </c>
    </row>
    <row r="377" spans="1:8" x14ac:dyDescent="0.45">
      <c r="A377" s="2">
        <v>1198</v>
      </c>
      <c r="B377" s="5" t="s">
        <v>201</v>
      </c>
      <c r="C377" s="5" t="s">
        <v>571</v>
      </c>
      <c r="D377" s="5" t="s">
        <v>592</v>
      </c>
      <c r="E377" s="15">
        <v>45293</v>
      </c>
      <c r="F377" s="4">
        <v>3668</v>
      </c>
      <c r="G377" s="1">
        <f t="shared" ca="1" si="10"/>
        <v>2</v>
      </c>
      <c r="H377" s="3">
        <f t="shared" si="11"/>
        <v>36162</v>
      </c>
    </row>
    <row r="378" spans="1:8" x14ac:dyDescent="0.45">
      <c r="A378" s="2">
        <v>1123</v>
      </c>
      <c r="B378" s="5" t="s">
        <v>126</v>
      </c>
      <c r="C378" s="5" t="s">
        <v>495</v>
      </c>
      <c r="D378" s="5" t="s">
        <v>584</v>
      </c>
      <c r="E378" s="15">
        <v>41154</v>
      </c>
      <c r="F378" s="4">
        <v>8413</v>
      </c>
      <c r="G378" s="1">
        <f t="shared" ca="1" si="10"/>
        <v>13</v>
      </c>
      <c r="H378" s="3">
        <f t="shared" si="11"/>
        <v>32022</v>
      </c>
    </row>
    <row r="379" spans="1:8" x14ac:dyDescent="0.45">
      <c r="A379" s="2">
        <v>1253</v>
      </c>
      <c r="B379" s="5" t="s">
        <v>256</v>
      </c>
      <c r="C379" s="5" t="s">
        <v>520</v>
      </c>
      <c r="D379" s="5" t="s">
        <v>587</v>
      </c>
      <c r="E379" s="15">
        <v>37167</v>
      </c>
      <c r="F379" s="4">
        <v>2923</v>
      </c>
      <c r="G379" s="1">
        <f t="shared" ca="1" si="10"/>
        <v>24</v>
      </c>
      <c r="H379" s="3">
        <f t="shared" si="11"/>
        <v>28036</v>
      </c>
    </row>
    <row r="380" spans="1:8" x14ac:dyDescent="0.45">
      <c r="A380" s="2">
        <v>1475</v>
      </c>
      <c r="B380" s="5" t="s">
        <v>478</v>
      </c>
      <c r="C380" s="5" t="s">
        <v>526</v>
      </c>
      <c r="D380" s="5" t="s">
        <v>590</v>
      </c>
      <c r="E380" s="15">
        <v>44112</v>
      </c>
      <c r="F380" s="4">
        <v>9581</v>
      </c>
      <c r="G380" s="1">
        <f t="shared" ca="1" si="10"/>
        <v>5</v>
      </c>
      <c r="H380" s="3">
        <f t="shared" si="11"/>
        <v>34980</v>
      </c>
    </row>
    <row r="381" spans="1:8" x14ac:dyDescent="0.45">
      <c r="A381" s="2">
        <v>1170</v>
      </c>
      <c r="B381" s="5" t="s">
        <v>173</v>
      </c>
      <c r="C381" s="5" t="s">
        <v>501</v>
      </c>
      <c r="D381" s="5" t="s">
        <v>591</v>
      </c>
      <c r="E381" s="15">
        <v>43531</v>
      </c>
      <c r="F381" s="4">
        <v>1712</v>
      </c>
      <c r="G381" s="1">
        <f t="shared" ca="1" si="10"/>
        <v>7</v>
      </c>
      <c r="H381" s="3">
        <f t="shared" si="11"/>
        <v>34400</v>
      </c>
    </row>
    <row r="382" spans="1:8" x14ac:dyDescent="0.45">
      <c r="A382" s="2">
        <v>1114</v>
      </c>
      <c r="B382" s="5" t="s">
        <v>117</v>
      </c>
      <c r="C382" s="5" t="s">
        <v>495</v>
      </c>
      <c r="D382" s="5" t="s">
        <v>584</v>
      </c>
      <c r="E382" s="15">
        <v>40881</v>
      </c>
      <c r="F382" s="4">
        <v>6181</v>
      </c>
      <c r="G382" s="1">
        <f t="shared" ca="1" si="10"/>
        <v>14</v>
      </c>
      <c r="H382" s="3">
        <f t="shared" si="11"/>
        <v>31750</v>
      </c>
    </row>
    <row r="383" spans="1:8" x14ac:dyDescent="0.45">
      <c r="A383" s="2">
        <v>1281</v>
      </c>
      <c r="B383" s="5" t="s">
        <v>284</v>
      </c>
      <c r="C383" s="5" t="s">
        <v>553</v>
      </c>
      <c r="D383" s="5" t="s">
        <v>583</v>
      </c>
      <c r="E383" s="15">
        <v>37575</v>
      </c>
      <c r="F383" s="4">
        <v>9524</v>
      </c>
      <c r="G383" s="1">
        <f t="shared" ca="1" si="10"/>
        <v>23</v>
      </c>
      <c r="H383" s="3">
        <f t="shared" si="11"/>
        <v>28444</v>
      </c>
    </row>
    <row r="384" spans="1:8" x14ac:dyDescent="0.45">
      <c r="A384" s="2">
        <v>1280</v>
      </c>
      <c r="B384" s="5" t="s">
        <v>283</v>
      </c>
      <c r="C384" s="5" t="s">
        <v>532</v>
      </c>
      <c r="D384" s="5" t="s">
        <v>583</v>
      </c>
      <c r="E384" s="15">
        <v>37418</v>
      </c>
      <c r="F384" s="4">
        <v>9521</v>
      </c>
      <c r="G384" s="1">
        <f t="shared" ca="1" si="10"/>
        <v>24</v>
      </c>
      <c r="H384" s="3">
        <f t="shared" si="11"/>
        <v>28287</v>
      </c>
    </row>
    <row r="385" spans="1:8" x14ac:dyDescent="0.45">
      <c r="A385" s="2">
        <v>1311</v>
      </c>
      <c r="B385" s="5" t="s">
        <v>314</v>
      </c>
      <c r="C385" s="5" t="s">
        <v>553</v>
      </c>
      <c r="D385" s="5" t="s">
        <v>595</v>
      </c>
      <c r="E385" s="15">
        <v>38841</v>
      </c>
      <c r="F385" s="4">
        <v>8467</v>
      </c>
      <c r="G385" s="1">
        <f t="shared" ca="1" si="10"/>
        <v>20</v>
      </c>
      <c r="H385" s="3">
        <f t="shared" si="11"/>
        <v>29710</v>
      </c>
    </row>
    <row r="386" spans="1:8" x14ac:dyDescent="0.45">
      <c r="A386" s="2">
        <v>1187</v>
      </c>
      <c r="B386" s="5" t="s">
        <v>190</v>
      </c>
      <c r="C386" s="5" t="s">
        <v>571</v>
      </c>
      <c r="D386" s="5" t="s">
        <v>591</v>
      </c>
      <c r="E386" s="15">
        <v>44570</v>
      </c>
      <c r="F386" s="4">
        <v>1500</v>
      </c>
      <c r="G386" s="1">
        <f t="shared" ref="G386:G449" ca="1" si="12">DATEDIF(E386, TODAY(), "Y")</f>
        <v>4</v>
      </c>
      <c r="H386" s="3">
        <f t="shared" ref="H386:H449" si="13">EDATE(E386, -12*25)</f>
        <v>35439</v>
      </c>
    </row>
    <row r="387" spans="1:8" x14ac:dyDescent="0.45">
      <c r="A387" s="2">
        <v>1331</v>
      </c>
      <c r="B387" s="5" t="s">
        <v>334</v>
      </c>
      <c r="C387" s="5" t="s">
        <v>553</v>
      </c>
      <c r="D387" s="5" t="s">
        <v>596</v>
      </c>
      <c r="E387" s="15">
        <v>39851</v>
      </c>
      <c r="F387" s="4">
        <v>8365</v>
      </c>
      <c r="G387" s="1">
        <f t="shared" ca="1" si="12"/>
        <v>17</v>
      </c>
      <c r="H387" s="3">
        <f t="shared" si="13"/>
        <v>30719</v>
      </c>
    </row>
    <row r="388" spans="1:8" ht="15" x14ac:dyDescent="0.45">
      <c r="A388" s="2">
        <v>1072</v>
      </c>
      <c r="B388" s="6" t="s">
        <v>75</v>
      </c>
      <c r="C388" s="5" t="s">
        <v>561</v>
      </c>
      <c r="D388" s="5" t="s">
        <v>587</v>
      </c>
      <c r="E388" s="15">
        <v>38872</v>
      </c>
      <c r="F388" s="4">
        <v>13350</v>
      </c>
      <c r="G388" s="1">
        <f t="shared" ca="1" si="12"/>
        <v>20</v>
      </c>
      <c r="H388" s="3">
        <f t="shared" si="13"/>
        <v>29741</v>
      </c>
    </row>
    <row r="389" spans="1:8" x14ac:dyDescent="0.45">
      <c r="A389" s="2">
        <v>1411</v>
      </c>
      <c r="B389" s="5" t="s">
        <v>414</v>
      </c>
      <c r="C389" s="5" t="s">
        <v>505</v>
      </c>
      <c r="D389" s="5" t="s">
        <v>584</v>
      </c>
      <c r="E389" s="15">
        <v>44194</v>
      </c>
      <c r="F389" s="4">
        <v>9524</v>
      </c>
      <c r="G389" s="1">
        <f t="shared" ca="1" si="12"/>
        <v>5</v>
      </c>
      <c r="H389" s="3">
        <f t="shared" si="13"/>
        <v>35062</v>
      </c>
    </row>
    <row r="390" spans="1:8" x14ac:dyDescent="0.45">
      <c r="A390" s="2">
        <v>1431</v>
      </c>
      <c r="B390" s="5" t="s">
        <v>434</v>
      </c>
      <c r="C390" s="5" t="s">
        <v>507</v>
      </c>
      <c r="D390" s="5" t="s">
        <v>586</v>
      </c>
      <c r="E390" s="15">
        <v>45415</v>
      </c>
      <c r="F390" s="4">
        <v>9521</v>
      </c>
      <c r="G390" s="1">
        <f t="shared" ca="1" si="12"/>
        <v>2</v>
      </c>
      <c r="H390" s="3">
        <f t="shared" si="13"/>
        <v>36283</v>
      </c>
    </row>
    <row r="391" spans="1:8" x14ac:dyDescent="0.45">
      <c r="A391" s="2">
        <v>1418</v>
      </c>
      <c r="B391" s="5" t="s">
        <v>421</v>
      </c>
      <c r="C391" s="5" t="s">
        <v>505</v>
      </c>
      <c r="D391" s="5" t="s">
        <v>584</v>
      </c>
      <c r="E391" s="15">
        <v>44727</v>
      </c>
      <c r="F391" s="4">
        <v>8365</v>
      </c>
      <c r="G391" s="1">
        <f t="shared" ca="1" si="12"/>
        <v>4</v>
      </c>
      <c r="H391" s="3">
        <f t="shared" si="13"/>
        <v>35596</v>
      </c>
    </row>
    <row r="392" spans="1:8" x14ac:dyDescent="0.45">
      <c r="A392" s="2">
        <v>1347</v>
      </c>
      <c r="B392" s="5" t="s">
        <v>350</v>
      </c>
      <c r="C392" s="5" t="s">
        <v>554</v>
      </c>
      <c r="D392" s="5" t="s">
        <v>596</v>
      </c>
      <c r="E392" s="15">
        <v>40277</v>
      </c>
      <c r="F392" s="4">
        <v>10109</v>
      </c>
      <c r="G392" s="1">
        <f t="shared" ca="1" si="12"/>
        <v>16</v>
      </c>
      <c r="H392" s="3">
        <f t="shared" si="13"/>
        <v>31146</v>
      </c>
    </row>
    <row r="393" spans="1:8" x14ac:dyDescent="0.45">
      <c r="A393" s="2">
        <v>1283</v>
      </c>
      <c r="B393" s="5" t="s">
        <v>286</v>
      </c>
      <c r="C393" s="5" t="s">
        <v>553</v>
      </c>
      <c r="D393" s="5" t="s">
        <v>583</v>
      </c>
      <c r="E393" s="15">
        <v>37865</v>
      </c>
      <c r="F393" s="4">
        <v>10109</v>
      </c>
      <c r="G393" s="1">
        <f t="shared" ca="1" si="12"/>
        <v>22</v>
      </c>
      <c r="H393" s="3">
        <f t="shared" si="13"/>
        <v>28734</v>
      </c>
    </row>
    <row r="394" spans="1:8" x14ac:dyDescent="0.45">
      <c r="A394" s="2">
        <v>1112</v>
      </c>
      <c r="B394" s="5" t="s">
        <v>115</v>
      </c>
      <c r="C394" s="5" t="s">
        <v>495</v>
      </c>
      <c r="D394" s="5" t="s">
        <v>584</v>
      </c>
      <c r="E394" s="15">
        <v>40566</v>
      </c>
      <c r="F394" s="4">
        <v>10615</v>
      </c>
      <c r="G394" s="1">
        <f t="shared" ca="1" si="12"/>
        <v>15</v>
      </c>
      <c r="H394" s="3">
        <f t="shared" si="13"/>
        <v>31435</v>
      </c>
    </row>
    <row r="395" spans="1:8" x14ac:dyDescent="0.45">
      <c r="A395" s="2">
        <v>1398</v>
      </c>
      <c r="B395" s="5" t="s">
        <v>401</v>
      </c>
      <c r="C395" s="5" t="s">
        <v>506</v>
      </c>
      <c r="D395" s="5" t="s">
        <v>584</v>
      </c>
      <c r="E395" s="15">
        <v>43324</v>
      </c>
      <c r="F395" s="4">
        <v>8413</v>
      </c>
      <c r="G395" s="1">
        <f t="shared" ca="1" si="12"/>
        <v>8</v>
      </c>
      <c r="H395" s="3">
        <f t="shared" si="13"/>
        <v>34193</v>
      </c>
    </row>
    <row r="396" spans="1:8" x14ac:dyDescent="0.45">
      <c r="A396" s="2">
        <v>1047</v>
      </c>
      <c r="B396" s="5" t="s">
        <v>50</v>
      </c>
      <c r="C396" s="5" t="s">
        <v>536</v>
      </c>
      <c r="D396" s="5" t="s">
        <v>583</v>
      </c>
      <c r="E396" s="15">
        <v>37695</v>
      </c>
      <c r="F396" s="4">
        <v>9123</v>
      </c>
      <c r="G396" s="1">
        <f t="shared" ca="1" si="12"/>
        <v>23</v>
      </c>
      <c r="H396" s="3">
        <f t="shared" si="13"/>
        <v>28564</v>
      </c>
    </row>
    <row r="397" spans="1:8" x14ac:dyDescent="0.45">
      <c r="A397" s="2">
        <v>1210</v>
      </c>
      <c r="B397" s="5" t="s">
        <v>213</v>
      </c>
      <c r="C397" s="5" t="s">
        <v>511</v>
      </c>
      <c r="D397" s="5" t="s">
        <v>592</v>
      </c>
      <c r="E397" s="15">
        <v>42128</v>
      </c>
      <c r="F397" s="4">
        <v>2369</v>
      </c>
      <c r="G397" s="1">
        <f t="shared" ca="1" si="12"/>
        <v>11</v>
      </c>
      <c r="H397" s="3">
        <f t="shared" si="13"/>
        <v>32997</v>
      </c>
    </row>
    <row r="398" spans="1:8" x14ac:dyDescent="0.45">
      <c r="A398" s="2">
        <v>1425</v>
      </c>
      <c r="B398" s="5" t="s">
        <v>428</v>
      </c>
      <c r="C398" s="5" t="s">
        <v>507</v>
      </c>
      <c r="D398" s="5" t="s">
        <v>586</v>
      </c>
      <c r="E398" s="15">
        <v>45195</v>
      </c>
      <c r="F398" s="4">
        <v>8723</v>
      </c>
      <c r="G398" s="1">
        <f t="shared" ca="1" si="12"/>
        <v>2</v>
      </c>
      <c r="H398" s="3">
        <f t="shared" si="13"/>
        <v>36064</v>
      </c>
    </row>
    <row r="399" spans="1:8" x14ac:dyDescent="0.45">
      <c r="A399" s="2">
        <v>1220</v>
      </c>
      <c r="B399" s="5" t="s">
        <v>223</v>
      </c>
      <c r="C399" s="5" t="s">
        <v>520</v>
      </c>
      <c r="D399" s="5" t="s">
        <v>593</v>
      </c>
      <c r="E399" s="15">
        <v>43545</v>
      </c>
      <c r="F399" s="4">
        <v>4082</v>
      </c>
      <c r="G399" s="1">
        <f t="shared" ca="1" si="12"/>
        <v>7</v>
      </c>
      <c r="H399" s="3">
        <f t="shared" si="13"/>
        <v>34414</v>
      </c>
    </row>
    <row r="400" spans="1:8" x14ac:dyDescent="0.45">
      <c r="A400" s="2">
        <v>1305</v>
      </c>
      <c r="B400" s="5" t="s">
        <v>308</v>
      </c>
      <c r="C400" s="5" t="s">
        <v>538</v>
      </c>
      <c r="D400" s="5" t="s">
        <v>583</v>
      </c>
      <c r="E400" s="15">
        <v>38402</v>
      </c>
      <c r="F400" s="4">
        <v>10167</v>
      </c>
      <c r="G400" s="1">
        <f t="shared" ca="1" si="12"/>
        <v>21</v>
      </c>
      <c r="H400" s="3">
        <f t="shared" si="13"/>
        <v>29270</v>
      </c>
    </row>
    <row r="401" spans="1:8" x14ac:dyDescent="0.45">
      <c r="A401" s="2">
        <v>1381</v>
      </c>
      <c r="B401" s="5" t="s">
        <v>384</v>
      </c>
      <c r="C401" s="5" t="s">
        <v>529</v>
      </c>
      <c r="D401" s="5" t="s">
        <v>584</v>
      </c>
      <c r="E401" s="15">
        <v>42038</v>
      </c>
      <c r="F401" s="4">
        <v>8723</v>
      </c>
      <c r="G401" s="1">
        <f t="shared" ca="1" si="12"/>
        <v>11</v>
      </c>
      <c r="H401" s="3">
        <f t="shared" si="13"/>
        <v>32907</v>
      </c>
    </row>
    <row r="402" spans="1:8" x14ac:dyDescent="0.45">
      <c r="A402" s="2">
        <v>1292</v>
      </c>
      <c r="B402" s="5" t="s">
        <v>295</v>
      </c>
      <c r="C402" s="5" t="s">
        <v>538</v>
      </c>
      <c r="D402" s="5" t="s">
        <v>583</v>
      </c>
      <c r="E402" s="15">
        <v>37950</v>
      </c>
      <c r="F402" s="4">
        <v>8664</v>
      </c>
      <c r="G402" s="1">
        <f t="shared" ca="1" si="12"/>
        <v>22</v>
      </c>
      <c r="H402" s="3">
        <f t="shared" si="13"/>
        <v>28819</v>
      </c>
    </row>
    <row r="403" spans="1:8" x14ac:dyDescent="0.45">
      <c r="A403" s="2">
        <v>1436</v>
      </c>
      <c r="B403" s="5" t="s">
        <v>439</v>
      </c>
      <c r="C403" s="5" t="s">
        <v>516</v>
      </c>
      <c r="D403" s="5" t="s">
        <v>586</v>
      </c>
      <c r="E403" s="15">
        <v>42128</v>
      </c>
      <c r="F403" s="4">
        <v>7107</v>
      </c>
      <c r="G403" s="1">
        <f t="shared" ca="1" si="12"/>
        <v>11</v>
      </c>
      <c r="H403" s="3">
        <f t="shared" si="13"/>
        <v>32997</v>
      </c>
    </row>
    <row r="404" spans="1:8" x14ac:dyDescent="0.45">
      <c r="A404" s="2">
        <v>1160</v>
      </c>
      <c r="B404" s="5" t="s">
        <v>163</v>
      </c>
      <c r="C404" s="5" t="s">
        <v>500</v>
      </c>
      <c r="D404" s="5" t="s">
        <v>590</v>
      </c>
      <c r="E404" s="15">
        <v>43008</v>
      </c>
      <c r="F404" s="4">
        <v>3668</v>
      </c>
      <c r="G404" s="1">
        <f t="shared" ca="1" si="12"/>
        <v>8</v>
      </c>
      <c r="H404" s="3">
        <f t="shared" si="13"/>
        <v>33877</v>
      </c>
    </row>
    <row r="405" spans="1:8" x14ac:dyDescent="0.45">
      <c r="A405" s="2">
        <v>1412</v>
      </c>
      <c r="B405" s="5" t="s">
        <v>415</v>
      </c>
      <c r="C405" s="5" t="s">
        <v>505</v>
      </c>
      <c r="D405" s="5" t="s">
        <v>584</v>
      </c>
      <c r="E405" s="15">
        <v>44313</v>
      </c>
      <c r="F405" s="4">
        <v>9581</v>
      </c>
      <c r="G405" s="1">
        <f t="shared" ca="1" si="12"/>
        <v>5</v>
      </c>
      <c r="H405" s="3">
        <f t="shared" si="13"/>
        <v>35182</v>
      </c>
    </row>
    <row r="406" spans="1:8" x14ac:dyDescent="0.45">
      <c r="A406" s="2">
        <v>1459</v>
      </c>
      <c r="B406" s="5" t="s">
        <v>462</v>
      </c>
      <c r="C406" s="5" t="s">
        <v>517</v>
      </c>
      <c r="D406" s="5" t="s">
        <v>590</v>
      </c>
      <c r="E406" s="15">
        <v>43063</v>
      </c>
      <c r="F406" s="4">
        <v>8015</v>
      </c>
      <c r="G406" s="1">
        <f t="shared" ca="1" si="12"/>
        <v>8</v>
      </c>
      <c r="H406" s="3">
        <f t="shared" si="13"/>
        <v>33932</v>
      </c>
    </row>
    <row r="407" spans="1:8" x14ac:dyDescent="0.45">
      <c r="A407" s="2">
        <v>1373</v>
      </c>
      <c r="B407" s="5" t="s">
        <v>376</v>
      </c>
      <c r="C407" s="5" t="s">
        <v>529</v>
      </c>
      <c r="D407" s="5" t="s">
        <v>584</v>
      </c>
      <c r="E407" s="15">
        <v>41564</v>
      </c>
      <c r="F407" s="4">
        <v>8015</v>
      </c>
      <c r="G407" s="1">
        <f t="shared" ca="1" si="12"/>
        <v>12</v>
      </c>
      <c r="H407" s="3">
        <f t="shared" si="13"/>
        <v>32433</v>
      </c>
    </row>
    <row r="408" spans="1:8" x14ac:dyDescent="0.45">
      <c r="A408" s="2">
        <v>1017</v>
      </c>
      <c r="B408" s="5" t="s">
        <v>20</v>
      </c>
      <c r="C408" s="5" t="s">
        <v>506</v>
      </c>
      <c r="D408" s="5" t="s">
        <v>583</v>
      </c>
      <c r="E408" s="15">
        <v>37383</v>
      </c>
      <c r="F408" s="4">
        <v>4348</v>
      </c>
      <c r="G408" s="1">
        <f t="shared" ca="1" si="12"/>
        <v>24</v>
      </c>
      <c r="H408" s="3">
        <f t="shared" si="13"/>
        <v>28252</v>
      </c>
    </row>
    <row r="409" spans="1:8" x14ac:dyDescent="0.45">
      <c r="A409" s="2">
        <v>1180</v>
      </c>
      <c r="B409" s="5" t="s">
        <v>183</v>
      </c>
      <c r="C409" s="5" t="s">
        <v>501</v>
      </c>
      <c r="D409" s="5" t="s">
        <v>591</v>
      </c>
      <c r="E409" s="15">
        <v>44313</v>
      </c>
      <c r="F409" s="4">
        <v>3779</v>
      </c>
      <c r="G409" s="1">
        <f t="shared" ca="1" si="12"/>
        <v>5</v>
      </c>
      <c r="H409" s="3">
        <f t="shared" si="13"/>
        <v>35182</v>
      </c>
    </row>
    <row r="410" spans="1:8" x14ac:dyDescent="0.45">
      <c r="A410" s="2">
        <v>1122</v>
      </c>
      <c r="B410" s="5" t="s">
        <v>125</v>
      </c>
      <c r="C410" s="5" t="s">
        <v>495</v>
      </c>
      <c r="D410" s="5" t="s">
        <v>584</v>
      </c>
      <c r="E410" s="15">
        <v>41000</v>
      </c>
      <c r="F410" s="4">
        <v>8365</v>
      </c>
      <c r="G410" s="1">
        <f t="shared" ca="1" si="12"/>
        <v>14</v>
      </c>
      <c r="H410" s="3">
        <f t="shared" si="13"/>
        <v>31868</v>
      </c>
    </row>
    <row r="411" spans="1:8" x14ac:dyDescent="0.45">
      <c r="A411" s="2">
        <v>1124</v>
      </c>
      <c r="B411" s="5" t="s">
        <v>127</v>
      </c>
      <c r="C411" s="5" t="s">
        <v>492</v>
      </c>
      <c r="D411" s="5" t="s">
        <v>584</v>
      </c>
      <c r="E411" s="15">
        <v>40973</v>
      </c>
      <c r="F411" s="4">
        <v>8467</v>
      </c>
      <c r="G411" s="1">
        <f t="shared" ca="1" si="12"/>
        <v>14</v>
      </c>
      <c r="H411" s="3">
        <f t="shared" si="13"/>
        <v>31841</v>
      </c>
    </row>
    <row r="412" spans="1:8" x14ac:dyDescent="0.45">
      <c r="A412" s="2">
        <v>1225</v>
      </c>
      <c r="B412" s="5" t="s">
        <v>228</v>
      </c>
      <c r="C412" s="5" t="s">
        <v>520</v>
      </c>
      <c r="D412" s="5" t="s">
        <v>593</v>
      </c>
      <c r="E412" s="15">
        <v>43895</v>
      </c>
      <c r="F412" s="4">
        <v>1500</v>
      </c>
      <c r="G412" s="1">
        <f t="shared" ca="1" si="12"/>
        <v>6</v>
      </c>
      <c r="H412" s="3">
        <f t="shared" si="13"/>
        <v>34763</v>
      </c>
    </row>
    <row r="413" spans="1:8" x14ac:dyDescent="0.45">
      <c r="A413" s="2">
        <v>1063</v>
      </c>
      <c r="B413" s="5" t="s">
        <v>66</v>
      </c>
      <c r="C413" s="5" t="s">
        <v>552</v>
      </c>
      <c r="D413" s="5" t="s">
        <v>587</v>
      </c>
      <c r="E413" s="15">
        <v>38353</v>
      </c>
      <c r="F413" s="4">
        <v>11106</v>
      </c>
      <c r="G413" s="1">
        <f t="shared" ca="1" si="12"/>
        <v>21</v>
      </c>
      <c r="H413" s="3">
        <f t="shared" si="13"/>
        <v>29221</v>
      </c>
    </row>
    <row r="414" spans="1:8" x14ac:dyDescent="0.45">
      <c r="A414" s="2">
        <v>1458</v>
      </c>
      <c r="B414" s="5" t="s">
        <v>461</v>
      </c>
      <c r="C414" s="5" t="s">
        <v>517</v>
      </c>
      <c r="D414" s="5" t="s">
        <v>590</v>
      </c>
      <c r="E414" s="15">
        <v>43008</v>
      </c>
      <c r="F414" s="4">
        <v>7800</v>
      </c>
      <c r="G414" s="1">
        <f t="shared" ca="1" si="12"/>
        <v>8</v>
      </c>
      <c r="H414" s="3">
        <f t="shared" si="13"/>
        <v>33877</v>
      </c>
    </row>
    <row r="415" spans="1:8" x14ac:dyDescent="0.45">
      <c r="A415" s="2">
        <v>1038</v>
      </c>
      <c r="B415" s="5" t="s">
        <v>41</v>
      </c>
      <c r="C415" s="5" t="s">
        <v>527</v>
      </c>
      <c r="D415" s="5" t="s">
        <v>586</v>
      </c>
      <c r="E415" s="15">
        <v>37490</v>
      </c>
      <c r="F415" s="4">
        <v>8467</v>
      </c>
      <c r="G415" s="1">
        <f t="shared" ca="1" si="12"/>
        <v>23</v>
      </c>
      <c r="H415" s="3">
        <f t="shared" si="13"/>
        <v>28359</v>
      </c>
    </row>
    <row r="416" spans="1:8" x14ac:dyDescent="0.45">
      <c r="A416" s="2">
        <v>1285</v>
      </c>
      <c r="B416" s="5" t="s">
        <v>288</v>
      </c>
      <c r="C416" s="5" t="s">
        <v>553</v>
      </c>
      <c r="D416" s="5" t="s">
        <v>583</v>
      </c>
      <c r="E416" s="15">
        <v>37665</v>
      </c>
      <c r="F416" s="4">
        <v>7107</v>
      </c>
      <c r="G416" s="1">
        <f t="shared" ca="1" si="12"/>
        <v>23</v>
      </c>
      <c r="H416" s="3">
        <f t="shared" si="13"/>
        <v>28534</v>
      </c>
    </row>
    <row r="417" spans="1:8" x14ac:dyDescent="0.45">
      <c r="A417" s="2">
        <v>1440</v>
      </c>
      <c r="B417" s="5" t="s">
        <v>443</v>
      </c>
      <c r="C417" s="5" t="s">
        <v>516</v>
      </c>
      <c r="D417" s="5" t="s">
        <v>586</v>
      </c>
      <c r="E417" s="15">
        <v>42126</v>
      </c>
      <c r="F417" s="4">
        <v>8413</v>
      </c>
      <c r="G417" s="1">
        <f t="shared" ca="1" si="12"/>
        <v>11</v>
      </c>
      <c r="H417" s="3">
        <f t="shared" si="13"/>
        <v>32995</v>
      </c>
    </row>
    <row r="418" spans="1:8" x14ac:dyDescent="0.45">
      <c r="A418" s="2">
        <v>1096</v>
      </c>
      <c r="B418" s="5" t="s">
        <v>99</v>
      </c>
      <c r="C418" s="5" t="s">
        <v>491</v>
      </c>
      <c r="D418" s="5" t="s">
        <v>584</v>
      </c>
      <c r="E418" s="15">
        <v>40005</v>
      </c>
      <c r="F418" s="4">
        <v>19161</v>
      </c>
      <c r="G418" s="1">
        <f t="shared" ca="1" si="12"/>
        <v>17</v>
      </c>
      <c r="H418" s="3">
        <f t="shared" si="13"/>
        <v>30874</v>
      </c>
    </row>
    <row r="419" spans="1:8" x14ac:dyDescent="0.45">
      <c r="A419" s="2">
        <v>1025</v>
      </c>
      <c r="B419" s="5" t="s">
        <v>28</v>
      </c>
      <c r="C419" s="5" t="s">
        <v>514</v>
      </c>
      <c r="D419" s="5" t="s">
        <v>584</v>
      </c>
      <c r="E419" s="15">
        <v>36845</v>
      </c>
      <c r="F419" s="4">
        <v>5590</v>
      </c>
      <c r="G419" s="1">
        <f t="shared" ca="1" si="12"/>
        <v>25</v>
      </c>
      <c r="H419" s="3">
        <f t="shared" si="13"/>
        <v>27713</v>
      </c>
    </row>
    <row r="420" spans="1:8" x14ac:dyDescent="0.45">
      <c r="A420" s="2">
        <v>1306</v>
      </c>
      <c r="B420" s="5" t="s">
        <v>309</v>
      </c>
      <c r="C420" s="5" t="s">
        <v>538</v>
      </c>
      <c r="D420" s="5" t="s">
        <v>583</v>
      </c>
      <c r="E420" s="15">
        <v>38478</v>
      </c>
      <c r="F420" s="4">
        <v>7107</v>
      </c>
      <c r="G420" s="1">
        <f t="shared" ca="1" si="12"/>
        <v>21</v>
      </c>
      <c r="H420" s="3">
        <f t="shared" si="13"/>
        <v>29347</v>
      </c>
    </row>
    <row r="421" spans="1:8" x14ac:dyDescent="0.45">
      <c r="A421" s="2">
        <v>1443</v>
      </c>
      <c r="B421" s="5" t="s">
        <v>446</v>
      </c>
      <c r="C421" s="5" t="s">
        <v>516</v>
      </c>
      <c r="D421" s="5" t="s">
        <v>586</v>
      </c>
      <c r="E421" s="15">
        <v>42159</v>
      </c>
      <c r="F421" s="4">
        <v>8664</v>
      </c>
      <c r="G421" s="1">
        <f t="shared" ca="1" si="12"/>
        <v>11</v>
      </c>
      <c r="H421" s="3">
        <f t="shared" si="13"/>
        <v>33028</v>
      </c>
    </row>
    <row r="422" spans="1:8" x14ac:dyDescent="0.45">
      <c r="A422" s="2">
        <v>1335</v>
      </c>
      <c r="B422" s="5" t="s">
        <v>338</v>
      </c>
      <c r="C422" s="5" t="s">
        <v>554</v>
      </c>
      <c r="D422" s="5" t="s">
        <v>596</v>
      </c>
      <c r="E422" s="15">
        <v>39855</v>
      </c>
      <c r="F422" s="4">
        <v>8664</v>
      </c>
      <c r="G422" s="1">
        <f t="shared" ca="1" si="12"/>
        <v>17</v>
      </c>
      <c r="H422" s="3">
        <f t="shared" si="13"/>
        <v>30723</v>
      </c>
    </row>
    <row r="423" spans="1:8" x14ac:dyDescent="0.45">
      <c r="A423" s="2">
        <v>1340</v>
      </c>
      <c r="B423" s="5" t="s">
        <v>343</v>
      </c>
      <c r="C423" s="5" t="s">
        <v>554</v>
      </c>
      <c r="D423" s="5" t="s">
        <v>596</v>
      </c>
      <c r="E423" s="15">
        <v>40207</v>
      </c>
      <c r="F423" s="4">
        <v>8967</v>
      </c>
      <c r="G423" s="1">
        <f t="shared" ca="1" si="12"/>
        <v>16</v>
      </c>
      <c r="H423" s="3">
        <f t="shared" si="13"/>
        <v>31076</v>
      </c>
    </row>
    <row r="424" spans="1:8" x14ac:dyDescent="0.45">
      <c r="A424" s="2">
        <v>1104</v>
      </c>
      <c r="B424" s="5" t="s">
        <v>107</v>
      </c>
      <c r="C424" s="5" t="s">
        <v>579</v>
      </c>
      <c r="D424" s="5" t="s">
        <v>584</v>
      </c>
      <c r="E424" s="15">
        <v>40296</v>
      </c>
      <c r="F424" s="4">
        <v>10167</v>
      </c>
      <c r="G424" s="1">
        <f t="shared" ca="1" si="12"/>
        <v>16</v>
      </c>
      <c r="H424" s="3">
        <f t="shared" si="13"/>
        <v>31165</v>
      </c>
    </row>
    <row r="425" spans="1:8" x14ac:dyDescent="0.45">
      <c r="A425" s="2">
        <v>1404</v>
      </c>
      <c r="B425" s="5" t="s">
        <v>407</v>
      </c>
      <c r="C425" s="5" t="s">
        <v>505</v>
      </c>
      <c r="D425" s="5" t="s">
        <v>584</v>
      </c>
      <c r="E425" s="15">
        <v>43885</v>
      </c>
      <c r="F425" s="4">
        <v>8723</v>
      </c>
      <c r="G425" s="1">
        <f t="shared" ca="1" si="12"/>
        <v>6</v>
      </c>
      <c r="H425" s="3">
        <f t="shared" si="13"/>
        <v>34754</v>
      </c>
    </row>
    <row r="426" spans="1:8" x14ac:dyDescent="0.45">
      <c r="A426" s="2">
        <v>1103</v>
      </c>
      <c r="B426" s="5" t="s">
        <v>106</v>
      </c>
      <c r="C426" s="5" t="s">
        <v>491</v>
      </c>
      <c r="D426" s="5" t="s">
        <v>584</v>
      </c>
      <c r="E426" s="15">
        <v>40455</v>
      </c>
      <c r="F426" s="4">
        <v>10109</v>
      </c>
      <c r="G426" s="1">
        <f t="shared" ca="1" si="12"/>
        <v>15</v>
      </c>
      <c r="H426" s="3">
        <f t="shared" si="13"/>
        <v>31324</v>
      </c>
    </row>
    <row r="427" spans="1:8" x14ac:dyDescent="0.45">
      <c r="A427" s="2">
        <v>1216</v>
      </c>
      <c r="B427" s="5" t="s">
        <v>219</v>
      </c>
      <c r="C427" s="5" t="s">
        <v>511</v>
      </c>
      <c r="D427" s="5" t="s">
        <v>593</v>
      </c>
      <c r="E427" s="15">
        <v>42128</v>
      </c>
      <c r="F427" s="4">
        <v>3332</v>
      </c>
      <c r="G427" s="1">
        <f t="shared" ca="1" si="12"/>
        <v>11</v>
      </c>
      <c r="H427" s="3">
        <f t="shared" si="13"/>
        <v>32997</v>
      </c>
    </row>
    <row r="428" spans="1:8" x14ac:dyDescent="0.45">
      <c r="A428" s="2">
        <v>1044</v>
      </c>
      <c r="B428" s="5" t="s">
        <v>47</v>
      </c>
      <c r="C428" s="5" t="s">
        <v>533</v>
      </c>
      <c r="D428" s="5" t="s">
        <v>583</v>
      </c>
      <c r="E428" s="15">
        <v>37665</v>
      </c>
      <c r="F428" s="4">
        <v>8814</v>
      </c>
      <c r="G428" s="1">
        <f t="shared" ca="1" si="12"/>
        <v>23</v>
      </c>
      <c r="H428" s="3">
        <f t="shared" si="13"/>
        <v>28534</v>
      </c>
    </row>
    <row r="429" spans="1:8" x14ac:dyDescent="0.45">
      <c r="A429" s="2">
        <v>1126</v>
      </c>
      <c r="B429" s="5" t="s">
        <v>129</v>
      </c>
      <c r="C429" s="5" t="s">
        <v>492</v>
      </c>
      <c r="D429" s="5" t="s">
        <v>584</v>
      </c>
      <c r="E429" s="15">
        <v>41080</v>
      </c>
      <c r="F429" s="4">
        <v>8664</v>
      </c>
      <c r="G429" s="1">
        <f t="shared" ca="1" si="12"/>
        <v>14</v>
      </c>
      <c r="H429" s="3">
        <f t="shared" si="13"/>
        <v>31948</v>
      </c>
    </row>
    <row r="430" spans="1:8" x14ac:dyDescent="0.45">
      <c r="A430" s="2">
        <v>1171</v>
      </c>
      <c r="B430" s="5" t="s">
        <v>174</v>
      </c>
      <c r="C430" s="5" t="s">
        <v>501</v>
      </c>
      <c r="D430" s="5" t="s">
        <v>591</v>
      </c>
      <c r="E430" s="15">
        <v>43703</v>
      </c>
      <c r="F430" s="4">
        <v>2319</v>
      </c>
      <c r="G430" s="1">
        <f t="shared" ca="1" si="12"/>
        <v>6</v>
      </c>
      <c r="H430" s="3">
        <f t="shared" si="13"/>
        <v>34572</v>
      </c>
    </row>
    <row r="431" spans="1:8" x14ac:dyDescent="0.45">
      <c r="A431" s="2">
        <v>1343</v>
      </c>
      <c r="B431" s="5" t="s">
        <v>346</v>
      </c>
      <c r="C431" s="5" t="s">
        <v>554</v>
      </c>
      <c r="D431" s="5" t="s">
        <v>596</v>
      </c>
      <c r="E431" s="15">
        <v>40455</v>
      </c>
      <c r="F431" s="4">
        <v>9128</v>
      </c>
      <c r="G431" s="1">
        <f t="shared" ca="1" si="12"/>
        <v>15</v>
      </c>
      <c r="H431" s="3">
        <f t="shared" si="13"/>
        <v>31324</v>
      </c>
    </row>
    <row r="432" spans="1:8" x14ac:dyDescent="0.45">
      <c r="A432" s="2">
        <v>1309</v>
      </c>
      <c r="B432" s="5" t="s">
        <v>312</v>
      </c>
      <c r="C432" s="5" t="s">
        <v>553</v>
      </c>
      <c r="D432" s="5" t="s">
        <v>595</v>
      </c>
      <c r="E432" s="15">
        <v>38452</v>
      </c>
      <c r="F432" s="4">
        <v>8365</v>
      </c>
      <c r="G432" s="1">
        <f t="shared" ca="1" si="12"/>
        <v>21</v>
      </c>
      <c r="H432" s="3">
        <f t="shared" si="13"/>
        <v>29321</v>
      </c>
    </row>
    <row r="433" spans="1:8" x14ac:dyDescent="0.45">
      <c r="A433" s="2">
        <v>1390</v>
      </c>
      <c r="B433" s="5" t="s">
        <v>393</v>
      </c>
      <c r="C433" s="5" t="s">
        <v>527</v>
      </c>
      <c r="D433" s="5" t="s">
        <v>584</v>
      </c>
      <c r="E433" s="15">
        <v>43071</v>
      </c>
      <c r="F433" s="4">
        <v>10109</v>
      </c>
      <c r="G433" s="1">
        <f t="shared" ca="1" si="12"/>
        <v>8</v>
      </c>
      <c r="H433" s="3">
        <f t="shared" si="13"/>
        <v>33940</v>
      </c>
    </row>
    <row r="434" spans="1:8" x14ac:dyDescent="0.45">
      <c r="A434" s="2">
        <v>1310</v>
      </c>
      <c r="B434" s="5" t="s">
        <v>313</v>
      </c>
      <c r="C434" s="5" t="s">
        <v>553</v>
      </c>
      <c r="D434" s="5" t="s">
        <v>595</v>
      </c>
      <c r="E434" s="15">
        <v>38792</v>
      </c>
      <c r="F434" s="4">
        <v>8413</v>
      </c>
      <c r="G434" s="1">
        <f t="shared" ca="1" si="12"/>
        <v>20</v>
      </c>
      <c r="H434" s="3">
        <f t="shared" si="13"/>
        <v>29661</v>
      </c>
    </row>
    <row r="435" spans="1:8" x14ac:dyDescent="0.45">
      <c r="A435" s="2">
        <v>1188</v>
      </c>
      <c r="B435" s="5" t="s">
        <v>191</v>
      </c>
      <c r="C435" s="5" t="s">
        <v>571</v>
      </c>
      <c r="D435" s="5" t="s">
        <v>591</v>
      </c>
      <c r="E435" s="15">
        <v>44814</v>
      </c>
      <c r="F435" s="4">
        <v>2000</v>
      </c>
      <c r="G435" s="1">
        <f t="shared" ca="1" si="12"/>
        <v>3</v>
      </c>
      <c r="H435" s="3">
        <f t="shared" si="13"/>
        <v>35683</v>
      </c>
    </row>
    <row r="436" spans="1:8" x14ac:dyDescent="0.45">
      <c r="A436" s="2">
        <v>1023</v>
      </c>
      <c r="B436" s="5" t="s">
        <v>26</v>
      </c>
      <c r="C436" s="5" t="s">
        <v>512</v>
      </c>
      <c r="D436" s="5" t="s">
        <v>584</v>
      </c>
      <c r="E436" s="15">
        <v>36643</v>
      </c>
      <c r="F436" s="4">
        <v>4858</v>
      </c>
      <c r="G436" s="1">
        <f t="shared" ca="1" si="12"/>
        <v>26</v>
      </c>
      <c r="H436" s="3">
        <f t="shared" si="13"/>
        <v>27511</v>
      </c>
    </row>
    <row r="437" spans="1:8" x14ac:dyDescent="0.45">
      <c r="A437" s="2">
        <v>1150</v>
      </c>
      <c r="B437" s="5" t="s">
        <v>153</v>
      </c>
      <c r="C437" s="5" t="s">
        <v>500</v>
      </c>
      <c r="D437" s="5" t="s">
        <v>590</v>
      </c>
      <c r="E437" s="15">
        <v>42503</v>
      </c>
      <c r="F437" s="4">
        <v>2000</v>
      </c>
      <c r="G437" s="1">
        <f t="shared" ca="1" si="12"/>
        <v>10</v>
      </c>
      <c r="H437" s="3">
        <f t="shared" si="13"/>
        <v>33371</v>
      </c>
    </row>
    <row r="438" spans="1:8" x14ac:dyDescent="0.45">
      <c r="A438" s="2">
        <v>1378</v>
      </c>
      <c r="B438" s="5" t="s">
        <v>381</v>
      </c>
      <c r="C438" s="5" t="s">
        <v>529</v>
      </c>
      <c r="D438" s="5" t="s">
        <v>584</v>
      </c>
      <c r="E438" s="15">
        <v>41839</v>
      </c>
      <c r="F438" s="4">
        <v>8664</v>
      </c>
      <c r="G438" s="1">
        <f t="shared" ca="1" si="12"/>
        <v>12</v>
      </c>
      <c r="H438" s="3">
        <f t="shared" si="13"/>
        <v>32708</v>
      </c>
    </row>
    <row r="439" spans="1:8" x14ac:dyDescent="0.45">
      <c r="A439" s="2">
        <v>1147</v>
      </c>
      <c r="B439" s="5" t="s">
        <v>150</v>
      </c>
      <c r="C439" s="5" t="s">
        <v>500</v>
      </c>
      <c r="D439" s="5" t="s">
        <v>590</v>
      </c>
      <c r="E439" s="15">
        <v>42451</v>
      </c>
      <c r="F439" s="4">
        <v>4539</v>
      </c>
      <c r="G439" s="1">
        <f t="shared" ca="1" si="12"/>
        <v>10</v>
      </c>
      <c r="H439" s="3">
        <f t="shared" si="13"/>
        <v>33319</v>
      </c>
    </row>
    <row r="440" spans="1:8" x14ac:dyDescent="0.45">
      <c r="A440" s="2">
        <v>1066</v>
      </c>
      <c r="B440" s="5" t="s">
        <v>69</v>
      </c>
      <c r="C440" s="5" t="s">
        <v>555</v>
      </c>
      <c r="D440" s="5" t="s">
        <v>587</v>
      </c>
      <c r="E440" s="15">
        <v>38478</v>
      </c>
      <c r="F440" s="4">
        <v>12126</v>
      </c>
      <c r="G440" s="1">
        <f t="shared" ca="1" si="12"/>
        <v>21</v>
      </c>
      <c r="H440" s="3">
        <f t="shared" si="13"/>
        <v>29347</v>
      </c>
    </row>
    <row r="441" spans="1:8" x14ac:dyDescent="0.45">
      <c r="A441" s="2">
        <v>1452</v>
      </c>
      <c r="B441" s="5" t="s">
        <v>455</v>
      </c>
      <c r="C441" s="5" t="s">
        <v>517</v>
      </c>
      <c r="D441" s="5" t="s">
        <v>586</v>
      </c>
      <c r="E441" s="15">
        <v>42727</v>
      </c>
      <c r="F441" s="4">
        <v>9521</v>
      </c>
      <c r="G441" s="1">
        <f t="shared" ca="1" si="12"/>
        <v>9</v>
      </c>
      <c r="H441" s="3">
        <f t="shared" si="13"/>
        <v>33595</v>
      </c>
    </row>
    <row r="442" spans="1:8" x14ac:dyDescent="0.45">
      <c r="A442" s="2">
        <v>1006</v>
      </c>
      <c r="B442" s="5" t="s">
        <v>9</v>
      </c>
      <c r="C442" s="5" t="s">
        <v>496</v>
      </c>
      <c r="D442" s="5" t="s">
        <v>585</v>
      </c>
      <c r="E442" s="15">
        <v>36845</v>
      </c>
      <c r="F442" s="4">
        <v>2476</v>
      </c>
      <c r="G442" s="1">
        <f t="shared" ca="1" si="12"/>
        <v>25</v>
      </c>
      <c r="H442" s="3">
        <f t="shared" si="13"/>
        <v>27713</v>
      </c>
    </row>
    <row r="443" spans="1:8" x14ac:dyDescent="0.45">
      <c r="A443" s="2">
        <v>1087</v>
      </c>
      <c r="B443" s="5" t="s">
        <v>90</v>
      </c>
      <c r="C443" s="5" t="s">
        <v>576</v>
      </c>
      <c r="D443" s="5" t="s">
        <v>585</v>
      </c>
      <c r="E443" s="15">
        <v>39490</v>
      </c>
      <c r="F443" s="4">
        <v>16219</v>
      </c>
      <c r="G443" s="1">
        <f t="shared" ca="1" si="12"/>
        <v>18</v>
      </c>
      <c r="H443" s="3">
        <f t="shared" si="13"/>
        <v>30359</v>
      </c>
    </row>
    <row r="444" spans="1:8" x14ac:dyDescent="0.45">
      <c r="A444" s="2">
        <v>1024</v>
      </c>
      <c r="B444" s="5" t="s">
        <v>27</v>
      </c>
      <c r="C444" s="5" t="s">
        <v>513</v>
      </c>
      <c r="D444" s="5" t="s">
        <v>584</v>
      </c>
      <c r="E444" s="15">
        <v>36714</v>
      </c>
      <c r="F444" s="4">
        <v>5148</v>
      </c>
      <c r="G444" s="1">
        <f t="shared" ca="1" si="12"/>
        <v>26</v>
      </c>
      <c r="H444" s="3">
        <f t="shared" si="13"/>
        <v>27582</v>
      </c>
    </row>
    <row r="445" spans="1:8" x14ac:dyDescent="0.45">
      <c r="A445" s="2">
        <v>1246</v>
      </c>
      <c r="B445" s="5" t="s">
        <v>249</v>
      </c>
      <c r="C445" s="5" t="s">
        <v>520</v>
      </c>
      <c r="D445" s="5" t="s">
        <v>594</v>
      </c>
      <c r="E445" s="15">
        <v>36579</v>
      </c>
      <c r="F445" s="4">
        <v>2000</v>
      </c>
      <c r="G445" s="1">
        <f t="shared" ca="1" si="12"/>
        <v>26</v>
      </c>
      <c r="H445" s="3">
        <f t="shared" si="13"/>
        <v>27448</v>
      </c>
    </row>
    <row r="446" spans="1:8" x14ac:dyDescent="0.45">
      <c r="A446" s="2">
        <v>1036</v>
      </c>
      <c r="B446" s="5" t="s">
        <v>39</v>
      </c>
      <c r="C446" s="5" t="s">
        <v>525</v>
      </c>
      <c r="D446" s="5" t="s">
        <v>586</v>
      </c>
      <c r="E446" s="15">
        <v>37383</v>
      </c>
      <c r="F446" s="4">
        <v>8365</v>
      </c>
      <c r="G446" s="1">
        <f t="shared" ca="1" si="12"/>
        <v>24</v>
      </c>
      <c r="H446" s="3">
        <f t="shared" si="13"/>
        <v>28252</v>
      </c>
    </row>
    <row r="447" spans="1:8" x14ac:dyDescent="0.45">
      <c r="A447" s="2">
        <v>1460</v>
      </c>
      <c r="B447" s="5" t="s">
        <v>463</v>
      </c>
      <c r="C447" s="5" t="s">
        <v>517</v>
      </c>
      <c r="D447" s="5" t="s">
        <v>590</v>
      </c>
      <c r="E447" s="15">
        <v>43069</v>
      </c>
      <c r="F447" s="4">
        <v>8365</v>
      </c>
      <c r="G447" s="1">
        <f t="shared" ca="1" si="12"/>
        <v>8</v>
      </c>
      <c r="H447" s="3">
        <f t="shared" si="13"/>
        <v>33938</v>
      </c>
    </row>
    <row r="448" spans="1:8" x14ac:dyDescent="0.45">
      <c r="A448" s="2">
        <v>1115</v>
      </c>
      <c r="B448" s="5" t="s">
        <v>118</v>
      </c>
      <c r="C448" s="5" t="s">
        <v>495</v>
      </c>
      <c r="D448" s="5" t="s">
        <v>584</v>
      </c>
      <c r="E448" s="15">
        <v>40830</v>
      </c>
      <c r="F448" s="4">
        <v>6594</v>
      </c>
      <c r="G448" s="1">
        <f t="shared" ca="1" si="12"/>
        <v>14</v>
      </c>
      <c r="H448" s="3">
        <f t="shared" si="13"/>
        <v>31699</v>
      </c>
    </row>
    <row r="449" spans="1:8" x14ac:dyDescent="0.45">
      <c r="A449" s="2">
        <v>1252</v>
      </c>
      <c r="B449" s="5" t="s">
        <v>255</v>
      </c>
      <c r="C449" s="5" t="s">
        <v>520</v>
      </c>
      <c r="D449" s="5" t="s">
        <v>587</v>
      </c>
      <c r="E449" s="15">
        <v>36935</v>
      </c>
      <c r="F449" s="4">
        <v>2551</v>
      </c>
      <c r="G449" s="1">
        <f t="shared" ca="1" si="12"/>
        <v>25</v>
      </c>
      <c r="H449" s="3">
        <f t="shared" si="13"/>
        <v>27803</v>
      </c>
    </row>
    <row r="450" spans="1:8" ht="15" x14ac:dyDescent="0.45">
      <c r="A450" s="2">
        <v>1073</v>
      </c>
      <c r="B450" s="6" t="s">
        <v>76</v>
      </c>
      <c r="C450" s="5" t="s">
        <v>562</v>
      </c>
      <c r="D450" s="5" t="s">
        <v>585</v>
      </c>
      <c r="E450" s="15">
        <v>38866</v>
      </c>
      <c r="F450" s="4">
        <v>13361</v>
      </c>
      <c r="G450" s="1">
        <f t="shared" ref="G450:G488" ca="1" si="14">DATEDIF(E450, TODAY(), "Y")</f>
        <v>20</v>
      </c>
      <c r="H450" s="3">
        <f t="shared" ref="H450:H488" si="15">EDATE(E450, -12*25)</f>
        <v>29735</v>
      </c>
    </row>
    <row r="451" spans="1:8" x14ac:dyDescent="0.45">
      <c r="A451" s="2">
        <v>1195</v>
      </c>
      <c r="B451" s="5" t="s">
        <v>198</v>
      </c>
      <c r="C451" s="5" t="s">
        <v>571</v>
      </c>
      <c r="D451" s="5" t="s">
        <v>592</v>
      </c>
      <c r="E451" s="15">
        <v>45253</v>
      </c>
      <c r="F451" s="4">
        <v>2923</v>
      </c>
      <c r="G451" s="1">
        <f t="shared" ca="1" si="14"/>
        <v>2</v>
      </c>
      <c r="H451" s="3">
        <f t="shared" si="15"/>
        <v>36122</v>
      </c>
    </row>
    <row r="452" spans="1:8" x14ac:dyDescent="0.45">
      <c r="A452" s="2">
        <v>1415</v>
      </c>
      <c r="B452" s="5" t="s">
        <v>418</v>
      </c>
      <c r="C452" s="5" t="s">
        <v>505</v>
      </c>
      <c r="D452" s="5" t="s">
        <v>584</v>
      </c>
      <c r="E452" s="15">
        <v>44208</v>
      </c>
      <c r="F452" s="4">
        <v>7107</v>
      </c>
      <c r="G452" s="1">
        <f t="shared" ca="1" si="14"/>
        <v>5</v>
      </c>
      <c r="H452" s="3">
        <f t="shared" si="15"/>
        <v>35076</v>
      </c>
    </row>
    <row r="453" spans="1:8" x14ac:dyDescent="0.45">
      <c r="A453" s="2">
        <v>1151</v>
      </c>
      <c r="B453" s="5" t="s">
        <v>154</v>
      </c>
      <c r="C453" s="5" t="s">
        <v>500</v>
      </c>
      <c r="D453" s="5" t="s">
        <v>590</v>
      </c>
      <c r="E453" s="15">
        <v>42621</v>
      </c>
      <c r="F453" s="4">
        <v>1712</v>
      </c>
      <c r="G453" s="1">
        <f t="shared" ca="1" si="14"/>
        <v>9</v>
      </c>
      <c r="H453" s="3">
        <f t="shared" si="15"/>
        <v>33489</v>
      </c>
    </row>
    <row r="454" spans="1:8" x14ac:dyDescent="0.45">
      <c r="A454" s="2">
        <v>1487</v>
      </c>
      <c r="B454" s="5" t="s">
        <v>490</v>
      </c>
      <c r="C454" s="5" t="s">
        <v>530</v>
      </c>
      <c r="D454" s="5" t="s">
        <v>583</v>
      </c>
      <c r="E454" s="15">
        <v>44815</v>
      </c>
      <c r="F454" s="4">
        <v>8365</v>
      </c>
      <c r="G454" s="1">
        <f t="shared" ca="1" si="14"/>
        <v>3</v>
      </c>
      <c r="H454" s="3">
        <f t="shared" si="15"/>
        <v>35684</v>
      </c>
    </row>
    <row r="455" spans="1:8" x14ac:dyDescent="0.45">
      <c r="A455" s="2">
        <v>1266</v>
      </c>
      <c r="B455" s="5" t="s">
        <v>269</v>
      </c>
      <c r="C455" s="5" t="s">
        <v>532</v>
      </c>
      <c r="D455" s="5" t="s">
        <v>587</v>
      </c>
      <c r="E455" s="15">
        <v>36845</v>
      </c>
      <c r="F455" s="4">
        <v>8015</v>
      </c>
      <c r="G455" s="1">
        <f t="shared" ca="1" si="14"/>
        <v>25</v>
      </c>
      <c r="H455" s="3">
        <f t="shared" si="15"/>
        <v>27713</v>
      </c>
    </row>
    <row r="456" spans="1:8" x14ac:dyDescent="0.45">
      <c r="A456" s="2">
        <v>1350</v>
      </c>
      <c r="B456" s="5" t="s">
        <v>353</v>
      </c>
      <c r="C456" s="5" t="s">
        <v>554</v>
      </c>
      <c r="D456" s="5" t="s">
        <v>596</v>
      </c>
      <c r="E456" s="15">
        <v>40536</v>
      </c>
      <c r="F456" s="4">
        <v>7800</v>
      </c>
      <c r="G456" s="1">
        <f t="shared" ca="1" si="14"/>
        <v>15</v>
      </c>
      <c r="H456" s="3">
        <f t="shared" si="15"/>
        <v>31405</v>
      </c>
    </row>
    <row r="457" spans="1:8" x14ac:dyDescent="0.45">
      <c r="A457" s="2">
        <v>1355</v>
      </c>
      <c r="B457" s="5" t="s">
        <v>358</v>
      </c>
      <c r="C457" s="5" t="s">
        <v>554</v>
      </c>
      <c r="D457" s="5" t="s">
        <v>596</v>
      </c>
      <c r="E457" s="15">
        <v>40830</v>
      </c>
      <c r="F457" s="4">
        <v>8555</v>
      </c>
      <c r="G457" s="1">
        <f t="shared" ca="1" si="14"/>
        <v>14</v>
      </c>
      <c r="H457" s="3">
        <f t="shared" si="15"/>
        <v>31699</v>
      </c>
    </row>
    <row r="458" spans="1:8" x14ac:dyDescent="0.45">
      <c r="A458" s="2">
        <v>1057</v>
      </c>
      <c r="B458" s="5" t="s">
        <v>60</v>
      </c>
      <c r="C458" s="5" t="s">
        <v>546</v>
      </c>
      <c r="D458" s="5" t="s">
        <v>583</v>
      </c>
      <c r="E458" s="15">
        <v>38328</v>
      </c>
      <c r="F458" s="4">
        <v>10345</v>
      </c>
      <c r="G458" s="1">
        <f t="shared" ca="1" si="14"/>
        <v>21</v>
      </c>
      <c r="H458" s="3">
        <f t="shared" si="15"/>
        <v>29196</v>
      </c>
    </row>
    <row r="459" spans="1:8" x14ac:dyDescent="0.45">
      <c r="A459" s="2">
        <v>1051</v>
      </c>
      <c r="B459" s="5" t="s">
        <v>54</v>
      </c>
      <c r="C459" s="5" t="s">
        <v>540</v>
      </c>
      <c r="D459" s="5" t="s">
        <v>583</v>
      </c>
      <c r="E459" s="15">
        <v>37722</v>
      </c>
      <c r="F459" s="4">
        <v>9581</v>
      </c>
      <c r="G459" s="1">
        <f t="shared" ca="1" si="14"/>
        <v>23</v>
      </c>
      <c r="H459" s="3">
        <f t="shared" si="15"/>
        <v>28591</v>
      </c>
    </row>
    <row r="460" spans="1:8" x14ac:dyDescent="0.45">
      <c r="A460" s="2">
        <v>1461</v>
      </c>
      <c r="B460" s="5" t="s">
        <v>464</v>
      </c>
      <c r="C460" s="5" t="s">
        <v>517</v>
      </c>
      <c r="D460" s="5" t="s">
        <v>590</v>
      </c>
      <c r="E460" s="15">
        <v>43098</v>
      </c>
      <c r="F460" s="4">
        <v>8413</v>
      </c>
      <c r="G460" s="1">
        <f t="shared" ca="1" si="14"/>
        <v>8</v>
      </c>
      <c r="H460" s="3">
        <f t="shared" si="15"/>
        <v>33967</v>
      </c>
    </row>
    <row r="461" spans="1:8" x14ac:dyDescent="0.45">
      <c r="A461" s="2">
        <v>1455</v>
      </c>
      <c r="B461" s="5" t="s">
        <v>458</v>
      </c>
      <c r="C461" s="5" t="s">
        <v>517</v>
      </c>
      <c r="D461" s="5" t="s">
        <v>590</v>
      </c>
      <c r="E461" s="15">
        <v>42753</v>
      </c>
      <c r="F461" s="4">
        <v>10109</v>
      </c>
      <c r="G461" s="1">
        <f t="shared" ca="1" si="14"/>
        <v>9</v>
      </c>
      <c r="H461" s="3">
        <f t="shared" si="15"/>
        <v>33621</v>
      </c>
    </row>
    <row r="462" spans="1:8" x14ac:dyDescent="0.45">
      <c r="A462" s="2">
        <v>1397</v>
      </c>
      <c r="B462" s="5" t="s">
        <v>400</v>
      </c>
      <c r="C462" s="5" t="s">
        <v>506</v>
      </c>
      <c r="D462" s="5" t="s">
        <v>584</v>
      </c>
      <c r="E462" s="15">
        <v>43202</v>
      </c>
      <c r="F462" s="4">
        <v>8365</v>
      </c>
      <c r="G462" s="1">
        <f t="shared" ca="1" si="14"/>
        <v>8</v>
      </c>
      <c r="H462" s="3">
        <f t="shared" si="15"/>
        <v>34071</v>
      </c>
    </row>
    <row r="463" spans="1:8" x14ac:dyDescent="0.45">
      <c r="A463" s="2">
        <v>1158</v>
      </c>
      <c r="B463" s="5" t="s">
        <v>161</v>
      </c>
      <c r="C463" s="5" t="s">
        <v>500</v>
      </c>
      <c r="D463" s="5" t="s">
        <v>590</v>
      </c>
      <c r="E463" s="15">
        <v>43071</v>
      </c>
      <c r="F463" s="4">
        <v>3001</v>
      </c>
      <c r="G463" s="1">
        <f t="shared" ca="1" si="14"/>
        <v>8</v>
      </c>
      <c r="H463" s="3">
        <f t="shared" si="15"/>
        <v>33940</v>
      </c>
    </row>
    <row r="464" spans="1:8" x14ac:dyDescent="0.45">
      <c r="A464" s="2">
        <v>1400</v>
      </c>
      <c r="B464" s="5" t="s">
        <v>403</v>
      </c>
      <c r="C464" s="5" t="s">
        <v>505</v>
      </c>
      <c r="D464" s="5" t="s">
        <v>584</v>
      </c>
      <c r="E464" s="15">
        <v>43458</v>
      </c>
      <c r="F464" s="4">
        <v>8555</v>
      </c>
      <c r="G464" s="1">
        <f t="shared" ca="1" si="14"/>
        <v>7</v>
      </c>
      <c r="H464" s="3">
        <f t="shared" si="15"/>
        <v>34327</v>
      </c>
    </row>
    <row r="465" spans="1:8" x14ac:dyDescent="0.45">
      <c r="A465" s="2">
        <v>1424</v>
      </c>
      <c r="B465" s="5" t="s">
        <v>427</v>
      </c>
      <c r="C465" s="5" t="s">
        <v>507</v>
      </c>
      <c r="D465" s="5" t="s">
        <v>586</v>
      </c>
      <c r="E465" s="15">
        <v>44966</v>
      </c>
      <c r="F465" s="4">
        <v>8696</v>
      </c>
      <c r="G465" s="1">
        <f t="shared" ca="1" si="14"/>
        <v>3</v>
      </c>
      <c r="H465" s="3">
        <f t="shared" si="15"/>
        <v>35835</v>
      </c>
    </row>
    <row r="466" spans="1:8" x14ac:dyDescent="0.45">
      <c r="A466" s="2">
        <v>1056</v>
      </c>
      <c r="B466" s="5" t="s">
        <v>59</v>
      </c>
      <c r="C466" s="5" t="s">
        <v>545</v>
      </c>
      <c r="D466" s="5" t="s">
        <v>583</v>
      </c>
      <c r="E466" s="15">
        <v>38051</v>
      </c>
      <c r="F466" s="4">
        <v>10273</v>
      </c>
      <c r="G466" s="1">
        <f t="shared" ca="1" si="14"/>
        <v>22</v>
      </c>
      <c r="H466" s="3">
        <f t="shared" si="15"/>
        <v>28919</v>
      </c>
    </row>
    <row r="467" spans="1:8" x14ac:dyDescent="0.45">
      <c r="A467" s="2">
        <v>1035</v>
      </c>
      <c r="B467" s="5" t="s">
        <v>38</v>
      </c>
      <c r="C467" s="5" t="s">
        <v>524</v>
      </c>
      <c r="D467" s="5" t="s">
        <v>586</v>
      </c>
      <c r="E467" s="15">
        <v>37531</v>
      </c>
      <c r="F467" s="4">
        <v>8015</v>
      </c>
      <c r="G467" s="1">
        <f t="shared" ca="1" si="14"/>
        <v>23</v>
      </c>
      <c r="H467" s="3">
        <f t="shared" si="15"/>
        <v>28400</v>
      </c>
    </row>
    <row r="468" spans="1:8" x14ac:dyDescent="0.45">
      <c r="A468" s="2">
        <v>1167</v>
      </c>
      <c r="B468" s="5" t="s">
        <v>170</v>
      </c>
      <c r="C468" s="5" t="s">
        <v>501</v>
      </c>
      <c r="D468" s="5" t="s">
        <v>591</v>
      </c>
      <c r="E468" s="15">
        <v>43450</v>
      </c>
      <c r="F468" s="4">
        <v>4570</v>
      </c>
      <c r="G468" s="1">
        <f t="shared" ca="1" si="14"/>
        <v>7</v>
      </c>
      <c r="H468" s="3">
        <f t="shared" si="15"/>
        <v>34319</v>
      </c>
    </row>
    <row r="469" spans="1:8" x14ac:dyDescent="0.45">
      <c r="A469" s="2">
        <v>1109</v>
      </c>
      <c r="B469" s="5" t="s">
        <v>112</v>
      </c>
      <c r="C469" s="5" t="s">
        <v>579</v>
      </c>
      <c r="D469" s="5" t="s">
        <v>584</v>
      </c>
      <c r="E469" s="15">
        <v>40472</v>
      </c>
      <c r="F469" s="4">
        <v>10512</v>
      </c>
      <c r="G469" s="1">
        <f t="shared" ca="1" si="14"/>
        <v>15</v>
      </c>
      <c r="H469" s="3">
        <f t="shared" si="15"/>
        <v>31341</v>
      </c>
    </row>
    <row r="470" spans="1:8" x14ac:dyDescent="0.45">
      <c r="A470" s="2">
        <v>1439</v>
      </c>
      <c r="B470" s="5" t="s">
        <v>442</v>
      </c>
      <c r="C470" s="5" t="s">
        <v>516</v>
      </c>
      <c r="D470" s="5" t="s">
        <v>586</v>
      </c>
      <c r="E470" s="15">
        <v>41939</v>
      </c>
      <c r="F470" s="4">
        <v>8365</v>
      </c>
      <c r="G470" s="1">
        <f t="shared" ca="1" si="14"/>
        <v>11</v>
      </c>
      <c r="H470" s="3">
        <f t="shared" si="15"/>
        <v>32808</v>
      </c>
    </row>
    <row r="471" spans="1:8" x14ac:dyDescent="0.45">
      <c r="A471" s="2">
        <v>1215</v>
      </c>
      <c r="B471" s="5" t="s">
        <v>218</v>
      </c>
      <c r="C471" s="5" t="s">
        <v>511</v>
      </c>
      <c r="D471" s="5" t="s">
        <v>593</v>
      </c>
      <c r="E471" s="15">
        <v>42038</v>
      </c>
      <c r="F471" s="4">
        <v>3001</v>
      </c>
      <c r="G471" s="1">
        <f t="shared" ca="1" si="14"/>
        <v>11</v>
      </c>
      <c r="H471" s="3">
        <f t="shared" si="15"/>
        <v>32907</v>
      </c>
    </row>
    <row r="472" spans="1:8" x14ac:dyDescent="0.45">
      <c r="A472" s="2">
        <v>1282</v>
      </c>
      <c r="B472" s="5" t="s">
        <v>285</v>
      </c>
      <c r="C472" s="5" t="s">
        <v>553</v>
      </c>
      <c r="D472" s="5" t="s">
        <v>583</v>
      </c>
      <c r="E472" s="15">
        <v>37610</v>
      </c>
      <c r="F472" s="4">
        <v>9581</v>
      </c>
      <c r="G472" s="1">
        <f t="shared" ca="1" si="14"/>
        <v>23</v>
      </c>
      <c r="H472" s="3">
        <f t="shared" si="15"/>
        <v>28479</v>
      </c>
    </row>
    <row r="473" spans="1:8" x14ac:dyDescent="0.45">
      <c r="A473" s="2">
        <v>1454</v>
      </c>
      <c r="B473" s="5" t="s">
        <v>457</v>
      </c>
      <c r="C473" s="5" t="s">
        <v>517</v>
      </c>
      <c r="D473" s="5" t="s">
        <v>590</v>
      </c>
      <c r="E473" s="15">
        <v>42750</v>
      </c>
      <c r="F473" s="4">
        <v>9581</v>
      </c>
      <c r="G473" s="1">
        <f t="shared" ca="1" si="14"/>
        <v>9</v>
      </c>
      <c r="H473" s="3">
        <f t="shared" si="15"/>
        <v>33618</v>
      </c>
    </row>
    <row r="474" spans="1:8" x14ac:dyDescent="0.45">
      <c r="A474" s="2">
        <v>1127</v>
      </c>
      <c r="B474" s="5" t="s">
        <v>130</v>
      </c>
      <c r="C474" s="5" t="s">
        <v>492</v>
      </c>
      <c r="D474" s="5" t="s">
        <v>584</v>
      </c>
      <c r="E474" s="15">
        <v>41083</v>
      </c>
      <c r="F474" s="4">
        <v>8686</v>
      </c>
      <c r="G474" s="1">
        <f t="shared" ca="1" si="14"/>
        <v>14</v>
      </c>
      <c r="H474" s="3">
        <f t="shared" si="15"/>
        <v>31951</v>
      </c>
    </row>
    <row r="475" spans="1:8" x14ac:dyDescent="0.45">
      <c r="A475" s="2">
        <v>1317</v>
      </c>
      <c r="B475" s="5" t="s">
        <v>320</v>
      </c>
      <c r="C475" s="5" t="s">
        <v>553</v>
      </c>
      <c r="D475" s="5" t="s">
        <v>595</v>
      </c>
      <c r="E475" s="15">
        <v>39141</v>
      </c>
      <c r="F475" s="4">
        <v>8814</v>
      </c>
      <c r="G475" s="1">
        <f t="shared" ca="1" si="14"/>
        <v>19</v>
      </c>
      <c r="H475" s="3">
        <f t="shared" si="15"/>
        <v>30010</v>
      </c>
    </row>
    <row r="476" spans="1:8" x14ac:dyDescent="0.45">
      <c r="A476" s="2">
        <v>1099</v>
      </c>
      <c r="B476" s="5" t="s">
        <v>102</v>
      </c>
      <c r="C476" s="5" t="s">
        <v>491</v>
      </c>
      <c r="D476" s="5" t="s">
        <v>584</v>
      </c>
      <c r="E476" s="15">
        <v>40299</v>
      </c>
      <c r="F476" s="4">
        <v>19589</v>
      </c>
      <c r="G476" s="1">
        <f t="shared" ca="1" si="14"/>
        <v>16</v>
      </c>
      <c r="H476" s="3">
        <f t="shared" si="15"/>
        <v>31168</v>
      </c>
    </row>
    <row r="477" spans="1:8" x14ac:dyDescent="0.45">
      <c r="A477" s="2">
        <v>1117</v>
      </c>
      <c r="B477" s="5" t="s">
        <v>120</v>
      </c>
      <c r="C477" s="5" t="s">
        <v>495</v>
      </c>
      <c r="D477" s="5" t="s">
        <v>584</v>
      </c>
      <c r="E477" s="15">
        <v>40888</v>
      </c>
      <c r="F477" s="4">
        <v>6829</v>
      </c>
      <c r="G477" s="1">
        <f t="shared" ca="1" si="14"/>
        <v>14</v>
      </c>
      <c r="H477" s="3">
        <f t="shared" si="15"/>
        <v>31757</v>
      </c>
    </row>
    <row r="478" spans="1:8" x14ac:dyDescent="0.45">
      <c r="A478" s="2">
        <v>1004</v>
      </c>
      <c r="B478" s="5" t="s">
        <v>7</v>
      </c>
      <c r="C478" s="5" t="s">
        <v>494</v>
      </c>
      <c r="D478" s="5" t="s">
        <v>583</v>
      </c>
      <c r="E478" s="15">
        <v>36643</v>
      </c>
      <c r="F478" s="4">
        <v>2319</v>
      </c>
      <c r="G478" s="1">
        <f t="shared" ca="1" si="14"/>
        <v>26</v>
      </c>
      <c r="H478" s="3">
        <f t="shared" si="15"/>
        <v>27511</v>
      </c>
    </row>
    <row r="479" spans="1:8" x14ac:dyDescent="0.45">
      <c r="A479" s="2">
        <v>1321</v>
      </c>
      <c r="B479" s="5" t="s">
        <v>324</v>
      </c>
      <c r="C479" s="5" t="s">
        <v>553</v>
      </c>
      <c r="D479" s="5" t="s">
        <v>595</v>
      </c>
      <c r="E479" s="15">
        <v>39087</v>
      </c>
      <c r="F479" s="4">
        <v>9128</v>
      </c>
      <c r="G479" s="1">
        <f t="shared" ca="1" si="14"/>
        <v>19</v>
      </c>
      <c r="H479" s="3">
        <f t="shared" si="15"/>
        <v>29956</v>
      </c>
    </row>
    <row r="480" spans="1:8" x14ac:dyDescent="0.45">
      <c r="A480" s="2">
        <v>1402</v>
      </c>
      <c r="B480" s="5" t="s">
        <v>405</v>
      </c>
      <c r="C480" s="5" t="s">
        <v>505</v>
      </c>
      <c r="D480" s="5" t="s">
        <v>584</v>
      </c>
      <c r="E480" s="15">
        <v>43531</v>
      </c>
      <c r="F480" s="4">
        <v>8686</v>
      </c>
      <c r="G480" s="1">
        <f t="shared" ca="1" si="14"/>
        <v>7</v>
      </c>
      <c r="H480" s="3">
        <f t="shared" si="15"/>
        <v>34400</v>
      </c>
    </row>
    <row r="481" spans="1:8" x14ac:dyDescent="0.45">
      <c r="A481" s="2">
        <v>1256</v>
      </c>
      <c r="B481" s="5" t="s">
        <v>259</v>
      </c>
      <c r="C481" s="5" t="s">
        <v>532</v>
      </c>
      <c r="D481" s="5" t="s">
        <v>587</v>
      </c>
      <c r="E481" s="15">
        <v>37276</v>
      </c>
      <c r="F481" s="4">
        <v>3668</v>
      </c>
      <c r="G481" s="1">
        <f t="shared" ca="1" si="14"/>
        <v>24</v>
      </c>
      <c r="H481" s="3">
        <f t="shared" si="15"/>
        <v>28145</v>
      </c>
    </row>
    <row r="482" spans="1:8" x14ac:dyDescent="0.45">
      <c r="A482" s="2">
        <v>1185</v>
      </c>
      <c r="B482" s="5" t="s">
        <v>188</v>
      </c>
      <c r="C482" s="5" t="s">
        <v>571</v>
      </c>
      <c r="D482" s="5" t="s">
        <v>591</v>
      </c>
      <c r="E482" s="15">
        <v>44705</v>
      </c>
      <c r="F482" s="4">
        <v>4539</v>
      </c>
      <c r="G482" s="1">
        <f t="shared" ca="1" si="14"/>
        <v>4</v>
      </c>
      <c r="H482" s="3">
        <f t="shared" si="15"/>
        <v>35574</v>
      </c>
    </row>
    <row r="483" spans="1:8" x14ac:dyDescent="0.45">
      <c r="A483" s="2">
        <v>1406</v>
      </c>
      <c r="B483" s="5" t="s">
        <v>409</v>
      </c>
      <c r="C483" s="5" t="s">
        <v>505</v>
      </c>
      <c r="D483" s="5" t="s">
        <v>584</v>
      </c>
      <c r="E483" s="15">
        <v>43895</v>
      </c>
      <c r="F483" s="4">
        <v>8967</v>
      </c>
      <c r="G483" s="1">
        <f t="shared" ca="1" si="14"/>
        <v>6</v>
      </c>
      <c r="H483" s="3">
        <f t="shared" si="15"/>
        <v>34763</v>
      </c>
    </row>
    <row r="484" spans="1:8" x14ac:dyDescent="0.45">
      <c r="A484" s="2">
        <v>1409</v>
      </c>
      <c r="B484" s="5" t="s">
        <v>412</v>
      </c>
      <c r="C484" s="5" t="s">
        <v>505</v>
      </c>
      <c r="D484" s="5" t="s">
        <v>584</v>
      </c>
      <c r="E484" s="15">
        <v>44112</v>
      </c>
      <c r="F484" s="4">
        <v>9128</v>
      </c>
      <c r="G484" s="1">
        <f t="shared" ca="1" si="14"/>
        <v>5</v>
      </c>
      <c r="H484" s="3">
        <f t="shared" si="15"/>
        <v>34980</v>
      </c>
    </row>
    <row r="485" spans="1:8" x14ac:dyDescent="0.45">
      <c r="A485" s="2">
        <v>1419</v>
      </c>
      <c r="B485" s="5" t="s">
        <v>422</v>
      </c>
      <c r="C485" s="5" t="s">
        <v>505</v>
      </c>
      <c r="D485" s="5" t="s">
        <v>584</v>
      </c>
      <c r="E485" s="15">
        <v>44570</v>
      </c>
      <c r="F485" s="4">
        <v>8413</v>
      </c>
      <c r="G485" s="1">
        <f t="shared" ca="1" si="14"/>
        <v>4</v>
      </c>
      <c r="H485" s="3">
        <f t="shared" si="15"/>
        <v>35439</v>
      </c>
    </row>
    <row r="486" spans="1:8" x14ac:dyDescent="0.45">
      <c r="A486" s="2">
        <v>1448</v>
      </c>
      <c r="B486" s="5" t="s">
        <v>451</v>
      </c>
      <c r="C486" s="5" t="s">
        <v>516</v>
      </c>
      <c r="D486" s="5" t="s">
        <v>586</v>
      </c>
      <c r="E486" s="15">
        <v>42128</v>
      </c>
      <c r="F486" s="4">
        <v>8967</v>
      </c>
      <c r="G486" s="1">
        <f t="shared" ca="1" si="14"/>
        <v>11</v>
      </c>
      <c r="H486" s="3">
        <f t="shared" si="15"/>
        <v>32997</v>
      </c>
    </row>
    <row r="487" spans="1:8" x14ac:dyDescent="0.45">
      <c r="A487" s="2">
        <v>1098</v>
      </c>
      <c r="B487" s="5" t="s">
        <v>101</v>
      </c>
      <c r="C487" s="5" t="s">
        <v>491</v>
      </c>
      <c r="D487" s="5" t="s">
        <v>584</v>
      </c>
      <c r="E487" s="15">
        <v>40137</v>
      </c>
      <c r="F487" s="4">
        <v>19370</v>
      </c>
      <c r="G487" s="1">
        <f t="shared" ca="1" si="14"/>
        <v>16</v>
      </c>
      <c r="H487" s="3">
        <f t="shared" si="15"/>
        <v>31006</v>
      </c>
    </row>
    <row r="488" spans="1:8" x14ac:dyDescent="0.45">
      <c r="A488" s="2">
        <v>1297</v>
      </c>
      <c r="B488" s="5" t="s">
        <v>300</v>
      </c>
      <c r="C488" s="5" t="s">
        <v>538</v>
      </c>
      <c r="D488" s="5" t="s">
        <v>583</v>
      </c>
      <c r="E488" s="15">
        <v>38328</v>
      </c>
      <c r="F488" s="4">
        <v>8967</v>
      </c>
      <c r="G488" s="1">
        <f t="shared" ca="1" si="14"/>
        <v>21</v>
      </c>
      <c r="H488" s="3">
        <f t="shared" si="15"/>
        <v>29196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25C9-3D0B-4EE9-AD09-88B2082ED2F4}">
  <dimension ref="B3:K195"/>
  <sheetViews>
    <sheetView zoomScale="70" zoomScaleNormal="70" workbookViewId="0">
      <selection activeCell="G6" sqref="G6"/>
    </sheetView>
  </sheetViews>
  <sheetFormatPr defaultRowHeight="14.25" x14ac:dyDescent="0.45"/>
  <cols>
    <col min="2" max="2" width="13.3984375" bestFit="1" customWidth="1"/>
    <col min="3" max="3" width="18.73046875" bestFit="1" customWidth="1"/>
    <col min="5" max="5" width="23.46484375" bestFit="1" customWidth="1"/>
    <col min="6" max="6" width="18.73046875" bestFit="1" customWidth="1"/>
    <col min="7" max="7" width="13.3984375" bestFit="1" customWidth="1"/>
    <col min="8" max="8" width="15" bestFit="1" customWidth="1"/>
    <col min="10" max="10" width="37" bestFit="1" customWidth="1"/>
    <col min="11" max="11" width="26.46484375" bestFit="1" customWidth="1"/>
  </cols>
  <sheetData>
    <row r="3" spans="2:11" x14ac:dyDescent="0.45">
      <c r="B3" s="9" t="s">
        <v>599</v>
      </c>
      <c r="C3" t="s">
        <v>641</v>
      </c>
      <c r="E3" s="9" t="s">
        <v>599</v>
      </c>
      <c r="F3" t="s">
        <v>641</v>
      </c>
      <c r="G3" s="9" t="s">
        <v>599</v>
      </c>
      <c r="H3" t="s">
        <v>602</v>
      </c>
      <c r="J3" s="9" t="s">
        <v>599</v>
      </c>
      <c r="K3" t="s">
        <v>603</v>
      </c>
    </row>
    <row r="4" spans="2:11" x14ac:dyDescent="0.45">
      <c r="B4" s="10" t="s">
        <v>593</v>
      </c>
      <c r="C4" s="24">
        <v>19</v>
      </c>
      <c r="E4" s="10" t="s">
        <v>520</v>
      </c>
      <c r="F4" s="24">
        <v>38</v>
      </c>
      <c r="G4" s="10" t="s">
        <v>593</v>
      </c>
      <c r="H4" s="12">
        <v>3140.1578947368421</v>
      </c>
      <c r="J4" s="10" t="s">
        <v>560</v>
      </c>
      <c r="K4" s="13">
        <v>20</v>
      </c>
    </row>
    <row r="5" spans="2:11" x14ac:dyDescent="0.45">
      <c r="B5" s="10" t="s">
        <v>592</v>
      </c>
      <c r="C5" s="24">
        <v>21</v>
      </c>
      <c r="E5" s="10" t="s">
        <v>529</v>
      </c>
      <c r="F5" s="24">
        <v>20</v>
      </c>
      <c r="G5" s="10" t="s">
        <v>592</v>
      </c>
      <c r="H5" s="12">
        <v>3064.3333333333335</v>
      </c>
      <c r="J5" s="10" t="s">
        <v>558</v>
      </c>
      <c r="K5" s="13">
        <v>21</v>
      </c>
    </row>
    <row r="6" spans="2:11" x14ac:dyDescent="0.45">
      <c r="B6" s="10" t="s">
        <v>585</v>
      </c>
      <c r="C6" s="24">
        <v>30</v>
      </c>
      <c r="E6" s="10" t="s">
        <v>538</v>
      </c>
      <c r="F6" s="24">
        <v>20</v>
      </c>
      <c r="G6" s="10" t="s">
        <v>585</v>
      </c>
      <c r="H6" s="12">
        <v>11175.766666666666</v>
      </c>
      <c r="J6" s="10" t="s">
        <v>516</v>
      </c>
      <c r="K6" s="13">
        <v>11.941176470588236</v>
      </c>
    </row>
    <row r="7" spans="2:11" x14ac:dyDescent="0.45">
      <c r="B7" s="10" t="s">
        <v>583</v>
      </c>
      <c r="C7" s="24">
        <v>69</v>
      </c>
      <c r="E7" s="10" t="s">
        <v>501</v>
      </c>
      <c r="F7" s="24">
        <v>22</v>
      </c>
      <c r="G7" s="10" t="s">
        <v>583</v>
      </c>
      <c r="H7" s="12">
        <v>8282.36231884058</v>
      </c>
      <c r="J7" s="10" t="s">
        <v>518</v>
      </c>
      <c r="K7" s="13">
        <v>9.1111111111111107</v>
      </c>
    </row>
    <row r="8" spans="2:11" x14ac:dyDescent="0.45">
      <c r="B8" s="10" t="s">
        <v>594</v>
      </c>
      <c r="C8" s="24">
        <v>18</v>
      </c>
      <c r="E8" s="10" t="s">
        <v>505</v>
      </c>
      <c r="F8" s="24">
        <v>21</v>
      </c>
      <c r="G8" s="10" t="s">
        <v>594</v>
      </c>
      <c r="H8" s="12">
        <v>3308.0555555555557</v>
      </c>
      <c r="J8" s="10" t="s">
        <v>520</v>
      </c>
      <c r="K8" s="13">
        <v>21</v>
      </c>
    </row>
    <row r="9" spans="2:11" x14ac:dyDescent="0.45">
      <c r="B9" s="10" t="s">
        <v>595</v>
      </c>
      <c r="C9" s="24">
        <v>21</v>
      </c>
      <c r="E9" s="10" t="s">
        <v>532</v>
      </c>
      <c r="F9" s="24">
        <v>26</v>
      </c>
      <c r="G9" s="10" t="s">
        <v>595</v>
      </c>
      <c r="H9" s="12">
        <v>8942.7142857142862</v>
      </c>
      <c r="J9" s="10" t="s">
        <v>521</v>
      </c>
      <c r="K9" s="13">
        <v>24</v>
      </c>
    </row>
    <row r="10" spans="2:11" x14ac:dyDescent="0.45">
      <c r="B10" s="10" t="s">
        <v>584</v>
      </c>
      <c r="C10" s="24">
        <v>111</v>
      </c>
      <c r="E10" s="10" t="s">
        <v>500</v>
      </c>
      <c r="F10" s="24">
        <v>25</v>
      </c>
      <c r="G10" s="10" t="s">
        <v>584</v>
      </c>
      <c r="H10" s="12">
        <v>8566.3423423423428</v>
      </c>
      <c r="J10" s="10" t="s">
        <v>494</v>
      </c>
      <c r="K10" s="13">
        <v>26</v>
      </c>
    </row>
    <row r="11" spans="2:11" x14ac:dyDescent="0.45">
      <c r="B11" s="10" t="s">
        <v>591</v>
      </c>
      <c r="C11" s="24">
        <v>24</v>
      </c>
      <c r="E11" s="10" t="s">
        <v>511</v>
      </c>
      <c r="F11" s="24">
        <v>20</v>
      </c>
      <c r="G11" s="10" t="s">
        <v>591</v>
      </c>
      <c r="H11" s="12">
        <v>3082.6666666666665</v>
      </c>
      <c r="J11" s="10" t="s">
        <v>519</v>
      </c>
      <c r="K11" s="13">
        <v>9.1666666666666661</v>
      </c>
    </row>
    <row r="12" spans="2:11" x14ac:dyDescent="0.45">
      <c r="B12" s="10" t="s">
        <v>596</v>
      </c>
      <c r="C12" s="24">
        <v>40</v>
      </c>
      <c r="E12" s="10" t="s">
        <v>553</v>
      </c>
      <c r="F12" s="24">
        <v>36</v>
      </c>
      <c r="G12" s="10" t="s">
        <v>596</v>
      </c>
      <c r="H12" s="12">
        <v>8839.65</v>
      </c>
      <c r="J12" s="10" t="s">
        <v>561</v>
      </c>
      <c r="K12" s="13">
        <v>20</v>
      </c>
    </row>
    <row r="13" spans="2:11" x14ac:dyDescent="0.45">
      <c r="B13" s="10" t="s">
        <v>586</v>
      </c>
      <c r="C13" s="24">
        <v>48</v>
      </c>
      <c r="E13" s="10" t="s">
        <v>554</v>
      </c>
      <c r="F13" s="24">
        <v>24</v>
      </c>
      <c r="G13" s="10" t="s">
        <v>586</v>
      </c>
      <c r="H13" s="12">
        <v>8511.75</v>
      </c>
      <c r="J13" s="10" t="s">
        <v>575</v>
      </c>
      <c r="K13" s="13">
        <v>18</v>
      </c>
    </row>
    <row r="14" spans="2:11" x14ac:dyDescent="0.45">
      <c r="B14" s="10" t="s">
        <v>590</v>
      </c>
      <c r="C14" s="24">
        <v>49</v>
      </c>
      <c r="E14" s="10" t="s">
        <v>600</v>
      </c>
      <c r="F14" s="24">
        <v>252</v>
      </c>
      <c r="G14" s="10" t="s">
        <v>590</v>
      </c>
      <c r="H14" s="12">
        <v>6373.2040816326535</v>
      </c>
      <c r="J14" s="10" t="s">
        <v>525</v>
      </c>
      <c r="K14" s="13">
        <v>24</v>
      </c>
    </row>
    <row r="15" spans="2:11" x14ac:dyDescent="0.45">
      <c r="B15" s="10" t="s">
        <v>587</v>
      </c>
      <c r="C15" s="24">
        <v>37</v>
      </c>
      <c r="G15" s="10" t="s">
        <v>587</v>
      </c>
      <c r="H15" s="12">
        <v>7581.6486486486483</v>
      </c>
      <c r="J15" s="10" t="s">
        <v>510</v>
      </c>
      <c r="K15" s="13">
        <v>26</v>
      </c>
    </row>
    <row r="16" spans="2:11" x14ac:dyDescent="0.45">
      <c r="B16" s="10" t="s">
        <v>600</v>
      </c>
      <c r="C16" s="24">
        <v>487</v>
      </c>
      <c r="G16" s="10" t="s">
        <v>600</v>
      </c>
      <c r="H16" s="12">
        <v>7511.1252566735111</v>
      </c>
      <c r="J16" s="10" t="s">
        <v>535</v>
      </c>
      <c r="K16" s="13">
        <v>22</v>
      </c>
    </row>
    <row r="17" spans="2:11" x14ac:dyDescent="0.45">
      <c r="J17" s="10" t="s">
        <v>572</v>
      </c>
      <c r="K17" s="13">
        <v>19</v>
      </c>
    </row>
    <row r="18" spans="2:11" x14ac:dyDescent="0.45">
      <c r="J18" s="10" t="s">
        <v>545</v>
      </c>
      <c r="K18" s="13">
        <v>22</v>
      </c>
    </row>
    <row r="19" spans="2:11" x14ac:dyDescent="0.45">
      <c r="B19" s="9" t="s">
        <v>599</v>
      </c>
      <c r="C19" t="s">
        <v>602</v>
      </c>
      <c r="J19" s="10" t="s">
        <v>576</v>
      </c>
      <c r="K19" s="13">
        <v>18</v>
      </c>
    </row>
    <row r="20" spans="2:11" x14ac:dyDescent="0.45">
      <c r="B20" s="10" t="s">
        <v>575</v>
      </c>
      <c r="C20" s="12">
        <v>15538</v>
      </c>
      <c r="J20" s="10" t="s">
        <v>536</v>
      </c>
      <c r="K20" s="13">
        <v>23</v>
      </c>
    </row>
    <row r="21" spans="2:11" x14ac:dyDescent="0.45">
      <c r="B21" s="10" t="s">
        <v>572</v>
      </c>
      <c r="C21" s="12">
        <v>15246</v>
      </c>
      <c r="J21" s="10" t="s">
        <v>513</v>
      </c>
      <c r="K21" s="13">
        <v>26</v>
      </c>
    </row>
    <row r="22" spans="2:11" x14ac:dyDescent="0.45">
      <c r="B22" s="10" t="s">
        <v>576</v>
      </c>
      <c r="C22" s="12">
        <v>16219</v>
      </c>
      <c r="J22" s="10" t="s">
        <v>574</v>
      </c>
      <c r="K22" s="13">
        <v>17</v>
      </c>
    </row>
    <row r="23" spans="2:11" x14ac:dyDescent="0.45">
      <c r="B23" s="10" t="s">
        <v>574</v>
      </c>
      <c r="C23" s="12">
        <v>15348</v>
      </c>
      <c r="J23" s="10" t="s">
        <v>573</v>
      </c>
      <c r="K23" s="13">
        <v>18</v>
      </c>
    </row>
    <row r="24" spans="2:11" x14ac:dyDescent="0.45">
      <c r="B24" s="10" t="s">
        <v>573</v>
      </c>
      <c r="C24" s="12">
        <v>15325</v>
      </c>
      <c r="J24" s="10" t="s">
        <v>547</v>
      </c>
      <c r="K24" s="13">
        <v>22</v>
      </c>
    </row>
    <row r="25" spans="2:11" x14ac:dyDescent="0.45">
      <c r="B25" s="10" t="s">
        <v>578</v>
      </c>
      <c r="C25" s="12">
        <v>16535</v>
      </c>
      <c r="J25" s="10" t="s">
        <v>552</v>
      </c>
      <c r="K25" s="13">
        <v>21</v>
      </c>
    </row>
    <row r="26" spans="2:11" x14ac:dyDescent="0.45">
      <c r="B26" s="10" t="s">
        <v>577</v>
      </c>
      <c r="C26" s="12">
        <v>16357</v>
      </c>
      <c r="J26" s="10" t="s">
        <v>570</v>
      </c>
      <c r="K26" s="13">
        <v>19</v>
      </c>
    </row>
    <row r="27" spans="2:11" x14ac:dyDescent="0.45">
      <c r="B27" s="10" t="s">
        <v>582</v>
      </c>
      <c r="C27" s="12">
        <v>18059</v>
      </c>
      <c r="J27" s="10" t="s">
        <v>529</v>
      </c>
      <c r="K27" s="13">
        <v>12.3</v>
      </c>
    </row>
    <row r="28" spans="2:11" x14ac:dyDescent="0.45">
      <c r="B28" s="10" t="s">
        <v>581</v>
      </c>
      <c r="C28" s="12">
        <v>17858</v>
      </c>
      <c r="J28" s="10" t="s">
        <v>565</v>
      </c>
      <c r="K28" s="13">
        <v>19</v>
      </c>
    </row>
    <row r="29" spans="2:11" x14ac:dyDescent="0.45">
      <c r="B29" s="10" t="s">
        <v>580</v>
      </c>
      <c r="C29" s="12">
        <v>16647</v>
      </c>
      <c r="J29" s="10" t="s">
        <v>562</v>
      </c>
      <c r="K29" s="13">
        <v>20</v>
      </c>
    </row>
    <row r="30" spans="2:11" x14ac:dyDescent="0.45">
      <c r="B30" s="10" t="s">
        <v>600</v>
      </c>
      <c r="C30" s="12">
        <v>16313.2</v>
      </c>
      <c r="J30" s="10" t="s">
        <v>564</v>
      </c>
      <c r="K30" s="13">
        <v>19</v>
      </c>
    </row>
    <row r="31" spans="2:11" x14ac:dyDescent="0.45">
      <c r="J31" s="10" t="s">
        <v>566</v>
      </c>
      <c r="K31" s="13">
        <v>19</v>
      </c>
    </row>
    <row r="32" spans="2:11" x14ac:dyDescent="0.45">
      <c r="B32" s="9" t="s">
        <v>599</v>
      </c>
      <c r="C32" t="s">
        <v>601</v>
      </c>
      <c r="J32" s="10" t="s">
        <v>563</v>
      </c>
      <c r="K32" s="13">
        <v>19</v>
      </c>
    </row>
    <row r="33" spans="2:11" x14ac:dyDescent="0.45">
      <c r="B33" s="10" t="s">
        <v>604</v>
      </c>
      <c r="C33" s="24">
        <v>39150</v>
      </c>
      <c r="J33" s="10" t="s">
        <v>538</v>
      </c>
      <c r="K33" s="13">
        <v>21.8</v>
      </c>
    </row>
    <row r="34" spans="2:11" x14ac:dyDescent="0.45">
      <c r="B34" s="11" t="s">
        <v>605</v>
      </c>
      <c r="C34" s="24">
        <v>5758</v>
      </c>
      <c r="J34" s="10" t="s">
        <v>491</v>
      </c>
      <c r="K34" s="13">
        <v>17.583333333333332</v>
      </c>
    </row>
    <row r="35" spans="2:11" x14ac:dyDescent="0.45">
      <c r="B35" s="11" t="s">
        <v>606</v>
      </c>
      <c r="C35" s="24">
        <v>11531</v>
      </c>
      <c r="J35" s="10" t="s">
        <v>501</v>
      </c>
      <c r="K35" s="13">
        <v>6.9545454545454541</v>
      </c>
    </row>
    <row r="36" spans="2:11" x14ac:dyDescent="0.45">
      <c r="B36" s="11" t="s">
        <v>607</v>
      </c>
      <c r="C36" s="24">
        <v>5773</v>
      </c>
      <c r="J36" s="10" t="s">
        <v>537</v>
      </c>
      <c r="K36" s="13">
        <v>23</v>
      </c>
    </row>
    <row r="37" spans="2:11" x14ac:dyDescent="0.45">
      <c r="B37" s="11" t="s">
        <v>608</v>
      </c>
      <c r="C37" s="24">
        <v>10310</v>
      </c>
      <c r="J37" s="10" t="s">
        <v>498</v>
      </c>
      <c r="K37" s="13">
        <v>25</v>
      </c>
    </row>
    <row r="38" spans="2:11" x14ac:dyDescent="0.45">
      <c r="B38" s="11" t="s">
        <v>609</v>
      </c>
      <c r="C38" s="24">
        <v>5778</v>
      </c>
      <c r="J38" s="10" t="s">
        <v>514</v>
      </c>
      <c r="K38" s="13">
        <v>25</v>
      </c>
    </row>
    <row r="39" spans="2:11" x14ac:dyDescent="0.45">
      <c r="B39" s="10" t="s">
        <v>610</v>
      </c>
      <c r="C39" s="24">
        <v>36850</v>
      </c>
      <c r="J39" s="10" t="s">
        <v>495</v>
      </c>
      <c r="K39" s="13">
        <v>15</v>
      </c>
    </row>
    <row r="40" spans="2:11" x14ac:dyDescent="0.45">
      <c r="B40" s="11" t="s">
        <v>605</v>
      </c>
      <c r="C40" s="24">
        <v>5788</v>
      </c>
      <c r="J40" s="10" t="s">
        <v>503</v>
      </c>
      <c r="K40" s="13">
        <v>24</v>
      </c>
    </row>
    <row r="41" spans="2:11" x14ac:dyDescent="0.45">
      <c r="B41" s="11" t="s">
        <v>611</v>
      </c>
      <c r="C41" s="24">
        <v>5798</v>
      </c>
      <c r="J41" s="10" t="s">
        <v>578</v>
      </c>
      <c r="K41" s="13">
        <v>17</v>
      </c>
    </row>
    <row r="42" spans="2:11" x14ac:dyDescent="0.45">
      <c r="B42" s="11" t="s">
        <v>606</v>
      </c>
      <c r="C42" s="24">
        <v>4552</v>
      </c>
      <c r="J42" s="10" t="s">
        <v>499</v>
      </c>
      <c r="K42" s="13">
        <v>24</v>
      </c>
    </row>
    <row r="43" spans="2:11" x14ac:dyDescent="0.45">
      <c r="B43" s="11" t="s">
        <v>612</v>
      </c>
      <c r="C43" s="24">
        <v>5803</v>
      </c>
      <c r="J43" s="10" t="s">
        <v>524</v>
      </c>
      <c r="K43" s="13">
        <v>23</v>
      </c>
    </row>
    <row r="44" spans="2:11" x14ac:dyDescent="0.45">
      <c r="B44" s="11" t="s">
        <v>613</v>
      </c>
      <c r="C44" s="24">
        <v>4556</v>
      </c>
      <c r="J44" s="10" t="s">
        <v>523</v>
      </c>
      <c r="K44" s="13">
        <v>24</v>
      </c>
    </row>
    <row r="45" spans="2:11" x14ac:dyDescent="0.45">
      <c r="B45" s="11" t="s">
        <v>608</v>
      </c>
      <c r="C45" s="24">
        <v>5793</v>
      </c>
      <c r="J45" s="10" t="s">
        <v>522</v>
      </c>
      <c r="K45" s="13">
        <v>24</v>
      </c>
    </row>
    <row r="46" spans="2:11" x14ac:dyDescent="0.45">
      <c r="B46" s="11" t="s">
        <v>614</v>
      </c>
      <c r="C46" s="24">
        <v>4560</v>
      </c>
      <c r="J46" s="10" t="s">
        <v>549</v>
      </c>
      <c r="K46" s="13">
        <v>21</v>
      </c>
    </row>
    <row r="47" spans="2:11" x14ac:dyDescent="0.45">
      <c r="B47" s="10" t="s">
        <v>615</v>
      </c>
      <c r="C47" s="24">
        <v>36113</v>
      </c>
      <c r="J47" s="10" t="s">
        <v>531</v>
      </c>
      <c r="K47" s="13">
        <v>22</v>
      </c>
    </row>
    <row r="48" spans="2:11" x14ac:dyDescent="0.45">
      <c r="B48" s="11" t="s">
        <v>616</v>
      </c>
      <c r="C48" s="24">
        <v>5820</v>
      </c>
      <c r="J48" s="10" t="s">
        <v>505</v>
      </c>
      <c r="K48" s="13">
        <v>6.1428571428571432</v>
      </c>
    </row>
    <row r="49" spans="2:11" x14ac:dyDescent="0.45">
      <c r="B49" s="11" t="s">
        <v>612</v>
      </c>
      <c r="C49" s="24">
        <v>5830</v>
      </c>
      <c r="J49" s="10" t="s">
        <v>506</v>
      </c>
      <c r="K49" s="13">
        <v>9.5</v>
      </c>
    </row>
    <row r="50" spans="2:11" x14ac:dyDescent="0.45">
      <c r="B50" s="11" t="s">
        <v>617</v>
      </c>
      <c r="C50" s="24">
        <v>2319</v>
      </c>
      <c r="J50" s="10" t="s">
        <v>509</v>
      </c>
      <c r="K50" s="13">
        <v>25</v>
      </c>
    </row>
    <row r="51" spans="2:11" x14ac:dyDescent="0.45">
      <c r="B51" s="11" t="s">
        <v>607</v>
      </c>
      <c r="C51" s="24">
        <v>5835</v>
      </c>
      <c r="J51" s="10" t="s">
        <v>507</v>
      </c>
      <c r="K51" s="13">
        <v>4.6428571428571432</v>
      </c>
    </row>
    <row r="52" spans="2:11" x14ac:dyDescent="0.45">
      <c r="B52" s="11" t="s">
        <v>618</v>
      </c>
      <c r="C52" s="24">
        <v>5840</v>
      </c>
      <c r="J52" s="10" t="s">
        <v>508</v>
      </c>
      <c r="K52" s="13">
        <v>23</v>
      </c>
    </row>
    <row r="53" spans="2:11" x14ac:dyDescent="0.45">
      <c r="B53" s="11" t="s">
        <v>608</v>
      </c>
      <c r="C53" s="24">
        <v>5825</v>
      </c>
      <c r="J53" s="10" t="s">
        <v>526</v>
      </c>
      <c r="K53" s="13">
        <v>11.333333333333334</v>
      </c>
    </row>
    <row r="54" spans="2:11" x14ac:dyDescent="0.45">
      <c r="B54" s="11" t="s">
        <v>609</v>
      </c>
      <c r="C54" s="24">
        <v>2321</v>
      </c>
      <c r="J54" s="10" t="s">
        <v>534</v>
      </c>
      <c r="K54" s="13">
        <v>23</v>
      </c>
    </row>
    <row r="55" spans="2:11" x14ac:dyDescent="0.45">
      <c r="B55" s="11" t="s">
        <v>614</v>
      </c>
      <c r="C55" s="24">
        <v>2323</v>
      </c>
      <c r="J55" s="10" t="s">
        <v>540</v>
      </c>
      <c r="K55" s="13">
        <v>23</v>
      </c>
    </row>
    <row r="56" spans="2:11" x14ac:dyDescent="0.45">
      <c r="B56" s="10" t="s">
        <v>619</v>
      </c>
      <c r="C56" s="24">
        <v>24392</v>
      </c>
      <c r="J56" s="10" t="s">
        <v>530</v>
      </c>
      <c r="K56" s="13">
        <v>5.666666666666667</v>
      </c>
    </row>
    <row r="57" spans="2:11" x14ac:dyDescent="0.45">
      <c r="B57" s="11" t="s">
        <v>605</v>
      </c>
      <c r="C57" s="24">
        <v>2329</v>
      </c>
      <c r="J57" s="10" t="s">
        <v>532</v>
      </c>
      <c r="K57" s="13">
        <v>24.384615384615383</v>
      </c>
    </row>
    <row r="58" spans="2:11" x14ac:dyDescent="0.45">
      <c r="B58" s="11" t="s">
        <v>611</v>
      </c>
      <c r="C58" s="24">
        <v>2335</v>
      </c>
      <c r="J58" s="10" t="s">
        <v>559</v>
      </c>
      <c r="K58" s="13">
        <v>20</v>
      </c>
    </row>
    <row r="59" spans="2:11" x14ac:dyDescent="0.45">
      <c r="B59" s="11" t="s">
        <v>606</v>
      </c>
      <c r="C59" s="24">
        <v>2342</v>
      </c>
      <c r="J59" s="10" t="s">
        <v>568</v>
      </c>
      <c r="K59" s="13">
        <v>19</v>
      </c>
    </row>
    <row r="60" spans="2:11" x14ac:dyDescent="0.45">
      <c r="B60" s="11" t="s">
        <v>617</v>
      </c>
      <c r="C60" s="24">
        <v>2331</v>
      </c>
      <c r="J60" s="10" t="s">
        <v>571</v>
      </c>
      <c r="K60" s="13">
        <v>3.7647058823529411</v>
      </c>
    </row>
    <row r="61" spans="2:11" x14ac:dyDescent="0.45">
      <c r="B61" s="11" t="s">
        <v>607</v>
      </c>
      <c r="C61" s="24">
        <v>8053</v>
      </c>
      <c r="J61" s="10" t="s">
        <v>502</v>
      </c>
      <c r="K61" s="13">
        <v>24</v>
      </c>
    </row>
    <row r="62" spans="2:11" x14ac:dyDescent="0.45">
      <c r="B62" s="11" t="s">
        <v>613</v>
      </c>
      <c r="C62" s="24">
        <v>4658</v>
      </c>
      <c r="J62" s="10" t="s">
        <v>577</v>
      </c>
      <c r="K62" s="13">
        <v>17</v>
      </c>
    </row>
    <row r="63" spans="2:11" x14ac:dyDescent="0.45">
      <c r="B63" s="11" t="s">
        <v>609</v>
      </c>
      <c r="C63" s="24">
        <v>2344</v>
      </c>
      <c r="J63" s="10" t="s">
        <v>541</v>
      </c>
      <c r="K63" s="13">
        <v>22</v>
      </c>
    </row>
    <row r="64" spans="2:11" x14ac:dyDescent="0.45">
      <c r="B64" s="10" t="s">
        <v>620</v>
      </c>
      <c r="C64" s="24">
        <v>23550</v>
      </c>
      <c r="J64" s="10" t="s">
        <v>544</v>
      </c>
      <c r="K64" s="13">
        <v>22</v>
      </c>
    </row>
    <row r="65" spans="2:11" x14ac:dyDescent="0.45">
      <c r="B65" s="11" t="s">
        <v>616</v>
      </c>
      <c r="C65" s="24">
        <v>7064</v>
      </c>
      <c r="J65" s="10" t="s">
        <v>543</v>
      </c>
      <c r="K65" s="13">
        <v>22</v>
      </c>
    </row>
    <row r="66" spans="2:11" x14ac:dyDescent="0.45">
      <c r="B66" s="11" t="s">
        <v>605</v>
      </c>
      <c r="C66" s="24">
        <v>2348</v>
      </c>
      <c r="J66" s="10" t="s">
        <v>542</v>
      </c>
      <c r="K66" s="13">
        <v>22</v>
      </c>
    </row>
    <row r="67" spans="2:11" x14ac:dyDescent="0.45">
      <c r="B67" s="11" t="s">
        <v>611</v>
      </c>
      <c r="C67" s="24">
        <v>4702</v>
      </c>
      <c r="J67" s="10" t="s">
        <v>533</v>
      </c>
      <c r="K67" s="13">
        <v>23</v>
      </c>
    </row>
    <row r="68" spans="2:11" x14ac:dyDescent="0.45">
      <c r="B68" s="11" t="s">
        <v>617</v>
      </c>
      <c r="C68" s="24">
        <v>2358</v>
      </c>
      <c r="J68" s="10" t="s">
        <v>500</v>
      </c>
      <c r="K68" s="13">
        <v>10.6</v>
      </c>
    </row>
    <row r="69" spans="2:11" x14ac:dyDescent="0.45">
      <c r="B69" s="11" t="s">
        <v>613</v>
      </c>
      <c r="C69" s="24">
        <v>2360</v>
      </c>
      <c r="J69" s="10" t="s">
        <v>493</v>
      </c>
      <c r="K69" s="13">
        <v>26</v>
      </c>
    </row>
    <row r="70" spans="2:11" x14ac:dyDescent="0.45">
      <c r="B70" s="11" t="s">
        <v>614</v>
      </c>
      <c r="C70" s="24">
        <v>4718</v>
      </c>
      <c r="J70" s="10" t="s">
        <v>496</v>
      </c>
      <c r="K70" s="13">
        <v>25</v>
      </c>
    </row>
    <row r="71" spans="2:11" x14ac:dyDescent="0.45">
      <c r="B71" s="10" t="s">
        <v>621</v>
      </c>
      <c r="C71" s="24">
        <v>16604</v>
      </c>
      <c r="J71" s="10" t="s">
        <v>497</v>
      </c>
      <c r="K71" s="13">
        <v>25</v>
      </c>
    </row>
    <row r="72" spans="2:11" x14ac:dyDescent="0.45">
      <c r="B72" s="11" t="s">
        <v>616</v>
      </c>
      <c r="C72" s="24">
        <v>2366</v>
      </c>
      <c r="J72" s="10" t="s">
        <v>569</v>
      </c>
      <c r="K72" s="13">
        <v>11.666666666666666</v>
      </c>
    </row>
    <row r="73" spans="2:11" x14ac:dyDescent="0.45">
      <c r="B73" s="11" t="s">
        <v>605</v>
      </c>
      <c r="C73" s="24">
        <v>2370</v>
      </c>
      <c r="J73" s="10" t="s">
        <v>528</v>
      </c>
      <c r="K73" s="13">
        <v>24</v>
      </c>
    </row>
    <row r="74" spans="2:11" x14ac:dyDescent="0.45">
      <c r="B74" s="11" t="s">
        <v>606</v>
      </c>
      <c r="C74" s="24">
        <v>2378</v>
      </c>
      <c r="J74" s="10" t="s">
        <v>551</v>
      </c>
      <c r="K74" s="13">
        <v>21</v>
      </c>
    </row>
    <row r="75" spans="2:11" x14ac:dyDescent="0.45">
      <c r="B75" s="11" t="s">
        <v>612</v>
      </c>
      <c r="C75" s="24">
        <v>2372</v>
      </c>
      <c r="J75" s="10" t="s">
        <v>550</v>
      </c>
      <c r="K75" s="13">
        <v>22</v>
      </c>
    </row>
    <row r="76" spans="2:11" x14ac:dyDescent="0.45">
      <c r="B76" s="11" t="s">
        <v>617</v>
      </c>
      <c r="C76" s="24">
        <v>2368</v>
      </c>
      <c r="J76" s="10" t="s">
        <v>582</v>
      </c>
      <c r="K76" s="13">
        <v>16</v>
      </c>
    </row>
    <row r="77" spans="2:11" x14ac:dyDescent="0.45">
      <c r="B77" s="11" t="s">
        <v>607</v>
      </c>
      <c r="C77" s="24">
        <v>2374</v>
      </c>
      <c r="J77" s="10" t="s">
        <v>581</v>
      </c>
      <c r="K77" s="13">
        <v>17</v>
      </c>
    </row>
    <row r="78" spans="2:11" x14ac:dyDescent="0.45">
      <c r="B78" s="11" t="s">
        <v>618</v>
      </c>
      <c r="C78" s="24">
        <v>2376</v>
      </c>
      <c r="J78" s="10" t="s">
        <v>579</v>
      </c>
      <c r="K78" s="13">
        <v>15.714285714285714</v>
      </c>
    </row>
    <row r="79" spans="2:11" x14ac:dyDescent="0.45">
      <c r="B79" s="10" t="s">
        <v>622</v>
      </c>
      <c r="C79" s="24">
        <v>14310</v>
      </c>
      <c r="J79" s="10" t="s">
        <v>580</v>
      </c>
      <c r="K79" s="13">
        <v>17</v>
      </c>
    </row>
    <row r="80" spans="2:11" x14ac:dyDescent="0.45">
      <c r="B80" s="11" t="s">
        <v>611</v>
      </c>
      <c r="C80" s="24">
        <v>2380</v>
      </c>
      <c r="J80" s="10" t="s">
        <v>492</v>
      </c>
      <c r="K80" s="13">
        <v>13.928571428571429</v>
      </c>
    </row>
    <row r="81" spans="2:11" x14ac:dyDescent="0.45">
      <c r="B81" s="11" t="s">
        <v>612</v>
      </c>
      <c r="C81" s="24">
        <v>4768</v>
      </c>
      <c r="J81" s="10" t="s">
        <v>511</v>
      </c>
      <c r="K81" s="13">
        <v>11.7</v>
      </c>
    </row>
    <row r="82" spans="2:11" x14ac:dyDescent="0.45">
      <c r="B82" s="11" t="s">
        <v>617</v>
      </c>
      <c r="C82" s="24">
        <v>2384</v>
      </c>
      <c r="J82" s="10" t="s">
        <v>553</v>
      </c>
      <c r="K82" s="13">
        <v>19.5</v>
      </c>
    </row>
    <row r="83" spans="2:11" x14ac:dyDescent="0.45">
      <c r="B83" s="11" t="s">
        <v>613</v>
      </c>
      <c r="C83" s="24">
        <v>2388</v>
      </c>
      <c r="J83" s="10" t="s">
        <v>554</v>
      </c>
      <c r="K83" s="13">
        <v>15.625</v>
      </c>
    </row>
    <row r="84" spans="2:11" x14ac:dyDescent="0.45">
      <c r="B84" s="11" t="s">
        <v>614</v>
      </c>
      <c r="C84" s="24">
        <v>2390</v>
      </c>
      <c r="J84" s="10" t="s">
        <v>555</v>
      </c>
      <c r="K84" s="13">
        <v>21</v>
      </c>
    </row>
    <row r="85" spans="2:11" x14ac:dyDescent="0.45">
      <c r="B85" s="10" t="s">
        <v>623</v>
      </c>
      <c r="C85" s="24">
        <v>19192</v>
      </c>
      <c r="J85" s="10" t="s">
        <v>556</v>
      </c>
      <c r="K85" s="13">
        <v>21</v>
      </c>
    </row>
    <row r="86" spans="2:11" x14ac:dyDescent="0.45">
      <c r="B86" s="11" t="s">
        <v>616</v>
      </c>
      <c r="C86" s="24">
        <v>2402</v>
      </c>
      <c r="J86" s="10" t="s">
        <v>517</v>
      </c>
      <c r="K86" s="13">
        <v>9.5714285714285712</v>
      </c>
    </row>
    <row r="87" spans="2:11" x14ac:dyDescent="0.45">
      <c r="B87" s="11" t="s">
        <v>605</v>
      </c>
      <c r="C87" s="24">
        <v>2394</v>
      </c>
      <c r="J87" s="10" t="s">
        <v>548</v>
      </c>
      <c r="K87" s="13">
        <v>22</v>
      </c>
    </row>
    <row r="88" spans="2:11" x14ac:dyDescent="0.45">
      <c r="B88" s="11" t="s">
        <v>611</v>
      </c>
      <c r="C88" s="24">
        <v>2398</v>
      </c>
      <c r="J88" s="10" t="s">
        <v>546</v>
      </c>
      <c r="K88" s="13">
        <v>21</v>
      </c>
    </row>
    <row r="89" spans="2:11" x14ac:dyDescent="0.45">
      <c r="B89" s="11" t="s">
        <v>606</v>
      </c>
      <c r="C89" s="24">
        <v>7198</v>
      </c>
      <c r="J89" s="10" t="s">
        <v>539</v>
      </c>
      <c r="K89" s="13">
        <v>23</v>
      </c>
    </row>
    <row r="90" spans="2:11" x14ac:dyDescent="0.45">
      <c r="B90" s="11" t="s">
        <v>612</v>
      </c>
      <c r="C90" s="24">
        <v>2404</v>
      </c>
      <c r="J90" s="10" t="s">
        <v>512</v>
      </c>
      <c r="K90" s="13">
        <v>26</v>
      </c>
    </row>
    <row r="91" spans="2:11" x14ac:dyDescent="0.45">
      <c r="B91" s="11" t="s">
        <v>617</v>
      </c>
      <c r="C91" s="24">
        <v>2396</v>
      </c>
      <c r="J91" s="10" t="s">
        <v>527</v>
      </c>
      <c r="K91" s="13">
        <v>11.6</v>
      </c>
    </row>
    <row r="92" spans="2:11" x14ac:dyDescent="0.45">
      <c r="B92" s="10" t="s">
        <v>624</v>
      </c>
      <c r="C92" s="24">
        <v>9644</v>
      </c>
      <c r="J92" s="10" t="s">
        <v>567</v>
      </c>
      <c r="K92" s="13">
        <v>19</v>
      </c>
    </row>
    <row r="93" spans="2:11" x14ac:dyDescent="0.45">
      <c r="B93" s="11" t="s">
        <v>616</v>
      </c>
      <c r="C93" s="24">
        <v>2412</v>
      </c>
      <c r="J93" s="10" t="s">
        <v>515</v>
      </c>
      <c r="K93" s="13">
        <v>25</v>
      </c>
    </row>
    <row r="94" spans="2:11" x14ac:dyDescent="0.45">
      <c r="B94" s="11" t="s">
        <v>605</v>
      </c>
      <c r="C94" s="24">
        <v>2414</v>
      </c>
      <c r="J94" s="10" t="s">
        <v>504</v>
      </c>
      <c r="K94" s="13">
        <v>14.818181818181818</v>
      </c>
    </row>
    <row r="95" spans="2:11" x14ac:dyDescent="0.45">
      <c r="B95" s="11" t="s">
        <v>617</v>
      </c>
      <c r="C95" s="24">
        <v>2408</v>
      </c>
      <c r="J95" s="10" t="s">
        <v>557</v>
      </c>
      <c r="K95" s="13">
        <v>20</v>
      </c>
    </row>
    <row r="96" spans="2:11" x14ac:dyDescent="0.45">
      <c r="B96" s="11" t="s">
        <v>618</v>
      </c>
      <c r="C96" s="24">
        <v>2410</v>
      </c>
      <c r="J96" s="10" t="s">
        <v>600</v>
      </c>
      <c r="K96" s="13">
        <v>14.782340862422998</v>
      </c>
    </row>
    <row r="97" spans="2:3" x14ac:dyDescent="0.45">
      <c r="B97" s="10" t="s">
        <v>625</v>
      </c>
      <c r="C97" s="24">
        <v>26686</v>
      </c>
    </row>
    <row r="98" spans="2:3" x14ac:dyDescent="0.45">
      <c r="B98" s="11" t="s">
        <v>605</v>
      </c>
      <c r="C98" s="24">
        <v>4852</v>
      </c>
    </row>
    <row r="99" spans="2:3" x14ac:dyDescent="0.45">
      <c r="B99" s="11" t="s">
        <v>612</v>
      </c>
      <c r="C99" s="24">
        <v>2418</v>
      </c>
    </row>
    <row r="100" spans="2:3" x14ac:dyDescent="0.45">
      <c r="B100" s="11" t="s">
        <v>617</v>
      </c>
      <c r="C100" s="24">
        <v>2420</v>
      </c>
    </row>
    <row r="101" spans="2:3" x14ac:dyDescent="0.45">
      <c r="B101" s="11" t="s">
        <v>607</v>
      </c>
      <c r="C101" s="24">
        <v>4856</v>
      </c>
    </row>
    <row r="102" spans="2:3" x14ac:dyDescent="0.45">
      <c r="B102" s="11" t="s">
        <v>618</v>
      </c>
      <c r="C102" s="24">
        <v>4842</v>
      </c>
    </row>
    <row r="103" spans="2:3" x14ac:dyDescent="0.45">
      <c r="B103" s="11" t="s">
        <v>608</v>
      </c>
      <c r="C103" s="24">
        <v>2428</v>
      </c>
    </row>
    <row r="104" spans="2:3" x14ac:dyDescent="0.45">
      <c r="B104" s="11" t="s">
        <v>609</v>
      </c>
      <c r="C104" s="24">
        <v>4870</v>
      </c>
    </row>
    <row r="105" spans="2:3" x14ac:dyDescent="0.45">
      <c r="B105" s="10" t="s">
        <v>626</v>
      </c>
      <c r="C105" s="24">
        <v>31850</v>
      </c>
    </row>
    <row r="106" spans="2:3" x14ac:dyDescent="0.45">
      <c r="B106" s="11" t="s">
        <v>616</v>
      </c>
      <c r="C106" s="24">
        <v>2440</v>
      </c>
    </row>
    <row r="107" spans="2:3" x14ac:dyDescent="0.45">
      <c r="B107" s="11" t="s">
        <v>611</v>
      </c>
      <c r="C107" s="24">
        <v>2442</v>
      </c>
    </row>
    <row r="108" spans="2:3" x14ac:dyDescent="0.45">
      <c r="B108" s="11" t="s">
        <v>606</v>
      </c>
      <c r="C108" s="24">
        <v>4902</v>
      </c>
    </row>
    <row r="109" spans="2:3" x14ac:dyDescent="0.45">
      <c r="B109" s="11" t="s">
        <v>612</v>
      </c>
      <c r="C109" s="24">
        <v>2438</v>
      </c>
    </row>
    <row r="110" spans="2:3" x14ac:dyDescent="0.45">
      <c r="B110" s="11" t="s">
        <v>618</v>
      </c>
      <c r="C110" s="24">
        <v>4894</v>
      </c>
    </row>
    <row r="111" spans="2:3" x14ac:dyDescent="0.45">
      <c r="B111" s="11" t="s">
        <v>613</v>
      </c>
      <c r="C111" s="24">
        <v>2456</v>
      </c>
    </row>
    <row r="112" spans="2:3" x14ac:dyDescent="0.45">
      <c r="B112" s="11" t="s">
        <v>608</v>
      </c>
      <c r="C112" s="24">
        <v>4904</v>
      </c>
    </row>
    <row r="113" spans="2:3" x14ac:dyDescent="0.45">
      <c r="B113" s="11" t="s">
        <v>609</v>
      </c>
      <c r="C113" s="24">
        <v>2452</v>
      </c>
    </row>
    <row r="114" spans="2:3" x14ac:dyDescent="0.45">
      <c r="B114" s="11" t="s">
        <v>614</v>
      </c>
      <c r="C114" s="24">
        <v>4922</v>
      </c>
    </row>
    <row r="115" spans="2:3" x14ac:dyDescent="0.45">
      <c r="B115" s="10" t="s">
        <v>627</v>
      </c>
      <c r="C115" s="24">
        <v>24730</v>
      </c>
    </row>
    <row r="116" spans="2:3" x14ac:dyDescent="0.45">
      <c r="B116" s="11" t="s">
        <v>616</v>
      </c>
      <c r="C116" s="24">
        <v>2464</v>
      </c>
    </row>
    <row r="117" spans="2:3" x14ac:dyDescent="0.45">
      <c r="B117" s="11" t="s">
        <v>605</v>
      </c>
      <c r="C117" s="24">
        <v>2466</v>
      </c>
    </row>
    <row r="118" spans="2:3" x14ac:dyDescent="0.45">
      <c r="B118" s="11" t="s">
        <v>608</v>
      </c>
      <c r="C118" s="24">
        <v>4942</v>
      </c>
    </row>
    <row r="119" spans="2:3" x14ac:dyDescent="0.45">
      <c r="B119" s="11" t="s">
        <v>609</v>
      </c>
      <c r="C119" s="24">
        <v>4954</v>
      </c>
    </row>
    <row r="120" spans="2:3" x14ac:dyDescent="0.45">
      <c r="B120" s="11" t="s">
        <v>614</v>
      </c>
      <c r="C120" s="24">
        <v>9904</v>
      </c>
    </row>
    <row r="121" spans="2:3" x14ac:dyDescent="0.45">
      <c r="B121" s="10" t="s">
        <v>628</v>
      </c>
      <c r="C121" s="24">
        <v>19928</v>
      </c>
    </row>
    <row r="122" spans="2:3" x14ac:dyDescent="0.45">
      <c r="B122" s="11" t="s">
        <v>611</v>
      </c>
      <c r="C122" s="24">
        <v>2488</v>
      </c>
    </row>
    <row r="123" spans="2:3" x14ac:dyDescent="0.45">
      <c r="B123" s="11" t="s">
        <v>606</v>
      </c>
      <c r="C123" s="24">
        <v>2484</v>
      </c>
    </row>
    <row r="124" spans="2:3" x14ac:dyDescent="0.45">
      <c r="B124" s="11" t="s">
        <v>617</v>
      </c>
      <c r="C124" s="24">
        <v>9972</v>
      </c>
    </row>
    <row r="125" spans="2:3" x14ac:dyDescent="0.45">
      <c r="B125" s="11" t="s">
        <v>613</v>
      </c>
      <c r="C125" s="24">
        <v>2486</v>
      </c>
    </row>
    <row r="126" spans="2:3" x14ac:dyDescent="0.45">
      <c r="B126" s="11" t="s">
        <v>614</v>
      </c>
      <c r="C126" s="24">
        <v>2498</v>
      </c>
    </row>
    <row r="127" spans="2:3" x14ac:dyDescent="0.45">
      <c r="B127" s="10" t="s">
        <v>629</v>
      </c>
      <c r="C127" s="24">
        <v>12520</v>
      </c>
    </row>
    <row r="128" spans="2:3" x14ac:dyDescent="0.45">
      <c r="B128" s="11" t="s">
        <v>616</v>
      </c>
      <c r="C128" s="24">
        <v>2502</v>
      </c>
    </row>
    <row r="129" spans="2:3" x14ac:dyDescent="0.45">
      <c r="B129" s="11" t="s">
        <v>605</v>
      </c>
      <c r="C129" s="24">
        <v>2500</v>
      </c>
    </row>
    <row r="130" spans="2:3" x14ac:dyDescent="0.45">
      <c r="B130" s="11" t="s">
        <v>612</v>
      </c>
      <c r="C130" s="24">
        <v>2504</v>
      </c>
    </row>
    <row r="131" spans="2:3" x14ac:dyDescent="0.45">
      <c r="B131" s="11" t="s">
        <v>608</v>
      </c>
      <c r="C131" s="24">
        <v>2506</v>
      </c>
    </row>
    <row r="132" spans="2:3" x14ac:dyDescent="0.45">
      <c r="B132" s="11" t="s">
        <v>614</v>
      </c>
      <c r="C132" s="24">
        <v>2508</v>
      </c>
    </row>
    <row r="133" spans="2:3" x14ac:dyDescent="0.45">
      <c r="B133" s="10" t="s">
        <v>630</v>
      </c>
      <c r="C133" s="24">
        <v>28440</v>
      </c>
    </row>
    <row r="134" spans="2:3" x14ac:dyDescent="0.45">
      <c r="B134" s="11" t="s">
        <v>605</v>
      </c>
      <c r="C134" s="24">
        <v>2512</v>
      </c>
    </row>
    <row r="135" spans="2:3" x14ac:dyDescent="0.45">
      <c r="B135" s="11" t="s">
        <v>607</v>
      </c>
      <c r="C135" s="24">
        <v>12962</v>
      </c>
    </row>
    <row r="136" spans="2:3" x14ac:dyDescent="0.45">
      <c r="B136" s="11" t="s">
        <v>608</v>
      </c>
      <c r="C136" s="24">
        <v>10456</v>
      </c>
    </row>
    <row r="137" spans="2:3" x14ac:dyDescent="0.45">
      <c r="B137" s="11" t="s">
        <v>609</v>
      </c>
      <c r="C137" s="24">
        <v>2510</v>
      </c>
    </row>
    <row r="138" spans="2:3" x14ac:dyDescent="0.45">
      <c r="B138" s="10" t="s">
        <v>631</v>
      </c>
      <c r="C138" s="24">
        <v>46962</v>
      </c>
    </row>
    <row r="139" spans="2:3" x14ac:dyDescent="0.45">
      <c r="B139" s="11" t="s">
        <v>605</v>
      </c>
      <c r="C139" s="24">
        <v>10472</v>
      </c>
    </row>
    <row r="140" spans="2:3" x14ac:dyDescent="0.45">
      <c r="B140" s="11" t="s">
        <v>612</v>
      </c>
      <c r="C140" s="24">
        <v>20944</v>
      </c>
    </row>
    <row r="141" spans="2:3" x14ac:dyDescent="0.45">
      <c r="B141" s="11" t="s">
        <v>617</v>
      </c>
      <c r="C141" s="24">
        <v>13016</v>
      </c>
    </row>
    <row r="142" spans="2:3" x14ac:dyDescent="0.45">
      <c r="B142" s="11" t="s">
        <v>618</v>
      </c>
      <c r="C142" s="24">
        <v>2530</v>
      </c>
    </row>
    <row r="143" spans="2:3" x14ac:dyDescent="0.45">
      <c r="B143" s="10" t="s">
        <v>632</v>
      </c>
      <c r="C143" s="24">
        <v>13188</v>
      </c>
    </row>
    <row r="144" spans="2:3" x14ac:dyDescent="0.45">
      <c r="B144" s="11" t="s">
        <v>616</v>
      </c>
      <c r="C144" s="24">
        <v>1152</v>
      </c>
    </row>
    <row r="145" spans="2:3" x14ac:dyDescent="0.45">
      <c r="B145" s="11" t="s">
        <v>611</v>
      </c>
      <c r="C145" s="24">
        <v>2295</v>
      </c>
    </row>
    <row r="146" spans="2:3" x14ac:dyDescent="0.45">
      <c r="B146" s="11" t="s">
        <v>606</v>
      </c>
      <c r="C146" s="24">
        <v>1149</v>
      </c>
    </row>
    <row r="147" spans="2:3" x14ac:dyDescent="0.45">
      <c r="B147" s="11" t="s">
        <v>612</v>
      </c>
      <c r="C147" s="24">
        <v>1150</v>
      </c>
    </row>
    <row r="148" spans="2:3" x14ac:dyDescent="0.45">
      <c r="B148" s="11" t="s">
        <v>607</v>
      </c>
      <c r="C148" s="24">
        <v>1146</v>
      </c>
    </row>
    <row r="149" spans="2:3" x14ac:dyDescent="0.45">
      <c r="B149" s="11" t="s">
        <v>613</v>
      </c>
      <c r="C149" s="24">
        <v>2304</v>
      </c>
    </row>
    <row r="150" spans="2:3" x14ac:dyDescent="0.45">
      <c r="B150" s="11" t="s">
        <v>614</v>
      </c>
      <c r="C150" s="24">
        <v>3992</v>
      </c>
    </row>
    <row r="151" spans="2:3" x14ac:dyDescent="0.45">
      <c r="B151" s="10" t="s">
        <v>633</v>
      </c>
      <c r="C151" s="24">
        <v>36063</v>
      </c>
    </row>
    <row r="152" spans="2:3" x14ac:dyDescent="0.45">
      <c r="B152" s="11" t="s">
        <v>616</v>
      </c>
      <c r="C152" s="24">
        <v>7999</v>
      </c>
    </row>
    <row r="153" spans="2:3" x14ac:dyDescent="0.45">
      <c r="B153" s="11" t="s">
        <v>612</v>
      </c>
      <c r="C153" s="24">
        <v>4007</v>
      </c>
    </row>
    <row r="154" spans="2:3" x14ac:dyDescent="0.45">
      <c r="B154" s="11" t="s">
        <v>607</v>
      </c>
      <c r="C154" s="24">
        <v>3995</v>
      </c>
    </row>
    <row r="155" spans="2:3" x14ac:dyDescent="0.45">
      <c r="B155" s="11" t="s">
        <v>613</v>
      </c>
      <c r="C155" s="24">
        <v>4010</v>
      </c>
    </row>
    <row r="156" spans="2:3" x14ac:dyDescent="0.45">
      <c r="B156" s="11" t="s">
        <v>609</v>
      </c>
      <c r="C156" s="24">
        <v>8029</v>
      </c>
    </row>
    <row r="157" spans="2:3" x14ac:dyDescent="0.45">
      <c r="B157" s="11" t="s">
        <v>614</v>
      </c>
      <c r="C157" s="24">
        <v>8023</v>
      </c>
    </row>
    <row r="158" spans="2:3" x14ac:dyDescent="0.45">
      <c r="B158" s="10" t="s">
        <v>634</v>
      </c>
      <c r="C158" s="24">
        <v>25478</v>
      </c>
    </row>
    <row r="159" spans="2:3" x14ac:dyDescent="0.45">
      <c r="B159" s="11" t="s">
        <v>606</v>
      </c>
      <c r="C159" s="24">
        <v>4025</v>
      </c>
    </row>
    <row r="160" spans="2:3" x14ac:dyDescent="0.45">
      <c r="B160" s="11" t="s">
        <v>618</v>
      </c>
      <c r="C160" s="24">
        <v>4028</v>
      </c>
    </row>
    <row r="161" spans="2:3" x14ac:dyDescent="0.45">
      <c r="B161" s="11" t="s">
        <v>608</v>
      </c>
      <c r="C161" s="24">
        <v>4022</v>
      </c>
    </row>
    <row r="162" spans="2:3" x14ac:dyDescent="0.45">
      <c r="B162" s="11" t="s">
        <v>614</v>
      </c>
      <c r="C162" s="24">
        <v>13403</v>
      </c>
    </row>
    <row r="163" spans="2:3" x14ac:dyDescent="0.45">
      <c r="B163" s="10" t="s">
        <v>635</v>
      </c>
      <c r="C163" s="24">
        <v>15783</v>
      </c>
    </row>
    <row r="164" spans="2:3" x14ac:dyDescent="0.45">
      <c r="B164" s="11" t="s">
        <v>611</v>
      </c>
      <c r="C164" s="24">
        <v>10518</v>
      </c>
    </row>
    <row r="165" spans="2:3" x14ac:dyDescent="0.45">
      <c r="B165" s="11" t="s">
        <v>618</v>
      </c>
      <c r="C165" s="24">
        <v>5265</v>
      </c>
    </row>
    <row r="166" spans="2:3" x14ac:dyDescent="0.45">
      <c r="B166" s="10" t="s">
        <v>636</v>
      </c>
      <c r="C166" s="24">
        <v>37350</v>
      </c>
    </row>
    <row r="167" spans="2:3" x14ac:dyDescent="0.45">
      <c r="B167" s="11" t="s">
        <v>605</v>
      </c>
      <c r="C167" s="24">
        <v>10542</v>
      </c>
    </row>
    <row r="168" spans="2:3" x14ac:dyDescent="0.45">
      <c r="B168" s="11" t="s">
        <v>611</v>
      </c>
      <c r="C168" s="24">
        <v>5277</v>
      </c>
    </row>
    <row r="169" spans="2:3" x14ac:dyDescent="0.45">
      <c r="B169" s="11" t="s">
        <v>607</v>
      </c>
      <c r="C169" s="24">
        <v>4058</v>
      </c>
    </row>
    <row r="170" spans="2:3" x14ac:dyDescent="0.45">
      <c r="B170" s="11" t="s">
        <v>618</v>
      </c>
      <c r="C170" s="24">
        <v>5281</v>
      </c>
    </row>
    <row r="171" spans="2:3" x14ac:dyDescent="0.45">
      <c r="B171" s="11" t="s">
        <v>613</v>
      </c>
      <c r="C171" s="24">
        <v>4064</v>
      </c>
    </row>
    <row r="172" spans="2:3" x14ac:dyDescent="0.45">
      <c r="B172" s="11" t="s">
        <v>608</v>
      </c>
      <c r="C172" s="24">
        <v>4061</v>
      </c>
    </row>
    <row r="173" spans="2:3" x14ac:dyDescent="0.45">
      <c r="B173" s="11" t="s">
        <v>614</v>
      </c>
      <c r="C173" s="24">
        <v>4067</v>
      </c>
    </row>
    <row r="174" spans="2:3" x14ac:dyDescent="0.45">
      <c r="B174" s="10" t="s">
        <v>637</v>
      </c>
      <c r="C174" s="24">
        <v>16298</v>
      </c>
    </row>
    <row r="175" spans="2:3" x14ac:dyDescent="0.45">
      <c r="B175" s="11" t="s">
        <v>616</v>
      </c>
      <c r="C175" s="24">
        <v>4079</v>
      </c>
    </row>
    <row r="176" spans="2:3" x14ac:dyDescent="0.45">
      <c r="B176" s="11" t="s">
        <v>606</v>
      </c>
      <c r="C176" s="24">
        <v>4070</v>
      </c>
    </row>
    <row r="177" spans="2:3" x14ac:dyDescent="0.45">
      <c r="B177" s="11" t="s">
        <v>608</v>
      </c>
      <c r="C177" s="24">
        <v>8149</v>
      </c>
    </row>
    <row r="178" spans="2:3" x14ac:dyDescent="0.45">
      <c r="B178" s="10" t="s">
        <v>638</v>
      </c>
      <c r="C178" s="24">
        <v>24537</v>
      </c>
    </row>
    <row r="179" spans="2:3" x14ac:dyDescent="0.45">
      <c r="B179" s="11" t="s">
        <v>616</v>
      </c>
      <c r="C179" s="24">
        <v>4091</v>
      </c>
    </row>
    <row r="180" spans="2:3" x14ac:dyDescent="0.45">
      <c r="B180" s="11" t="s">
        <v>605</v>
      </c>
      <c r="C180" s="24">
        <v>4082</v>
      </c>
    </row>
    <row r="181" spans="2:3" x14ac:dyDescent="0.45">
      <c r="B181" s="11" t="s">
        <v>612</v>
      </c>
      <c r="C181" s="24">
        <v>4085</v>
      </c>
    </row>
    <row r="182" spans="2:3" x14ac:dyDescent="0.45">
      <c r="B182" s="11" t="s">
        <v>617</v>
      </c>
      <c r="C182" s="24">
        <v>4088</v>
      </c>
    </row>
    <row r="183" spans="2:3" x14ac:dyDescent="0.45">
      <c r="B183" s="11" t="s">
        <v>613</v>
      </c>
      <c r="C183" s="24">
        <v>8191</v>
      </c>
    </row>
    <row r="184" spans="2:3" x14ac:dyDescent="0.45">
      <c r="B184" s="10" t="s">
        <v>639</v>
      </c>
      <c r="C184" s="24">
        <v>18326</v>
      </c>
    </row>
    <row r="185" spans="2:3" x14ac:dyDescent="0.45">
      <c r="B185" s="11" t="s">
        <v>616</v>
      </c>
      <c r="C185" s="24">
        <v>2612</v>
      </c>
    </row>
    <row r="186" spans="2:3" x14ac:dyDescent="0.45">
      <c r="B186" s="11" t="s">
        <v>605</v>
      </c>
      <c r="C186" s="24">
        <v>2616</v>
      </c>
    </row>
    <row r="187" spans="2:3" x14ac:dyDescent="0.45">
      <c r="B187" s="11" t="s">
        <v>611</v>
      </c>
      <c r="C187" s="24">
        <v>2614</v>
      </c>
    </row>
    <row r="188" spans="2:3" x14ac:dyDescent="0.45">
      <c r="B188" s="11" t="s">
        <v>613</v>
      </c>
      <c r="C188" s="24">
        <v>2618</v>
      </c>
    </row>
    <row r="189" spans="2:3" x14ac:dyDescent="0.45">
      <c r="B189" s="11" t="s">
        <v>608</v>
      </c>
      <c r="C189" s="24">
        <v>2620</v>
      </c>
    </row>
    <row r="190" spans="2:3" x14ac:dyDescent="0.45">
      <c r="B190" s="11" t="s">
        <v>609</v>
      </c>
      <c r="C190" s="24">
        <v>2622</v>
      </c>
    </row>
    <row r="191" spans="2:3" x14ac:dyDescent="0.45">
      <c r="B191" s="11" t="s">
        <v>614</v>
      </c>
      <c r="C191" s="24">
        <v>2624</v>
      </c>
    </row>
    <row r="192" spans="2:3" x14ac:dyDescent="0.45">
      <c r="B192" s="10" t="s">
        <v>640</v>
      </c>
      <c r="C192" s="24">
        <v>7884</v>
      </c>
    </row>
    <row r="193" spans="2:3" x14ac:dyDescent="0.45">
      <c r="B193" s="11" t="s">
        <v>616</v>
      </c>
      <c r="C193" s="24">
        <v>5254</v>
      </c>
    </row>
    <row r="194" spans="2:3" x14ac:dyDescent="0.45">
      <c r="B194" s="11" t="s">
        <v>612</v>
      </c>
      <c r="C194" s="24">
        <v>2630</v>
      </c>
    </row>
    <row r="195" spans="2:3" x14ac:dyDescent="0.45">
      <c r="B195" s="10" t="s">
        <v>600</v>
      </c>
      <c r="C195" s="24">
        <v>605828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CA2F-CFD4-4BD1-9211-97E88EE8BEE4}">
  <dimension ref="B2:L6"/>
  <sheetViews>
    <sheetView showGridLines="0" tabSelected="1" zoomScale="60" zoomScaleNormal="60" workbookViewId="0">
      <selection activeCell="T15" sqref="T15"/>
    </sheetView>
  </sheetViews>
  <sheetFormatPr defaultRowHeight="14.25" x14ac:dyDescent="0.45"/>
  <cols>
    <col min="1" max="1" width="20.1328125" bestFit="1" customWidth="1"/>
    <col min="2" max="2" width="49.86328125" bestFit="1" customWidth="1"/>
    <col min="4" max="4" width="14.796875" bestFit="1" customWidth="1"/>
    <col min="6" max="6" width="14.33203125" bestFit="1" customWidth="1"/>
    <col min="8" max="8" width="24.46484375" bestFit="1" customWidth="1"/>
    <col min="10" max="10" width="12.73046875" bestFit="1" customWidth="1"/>
  </cols>
  <sheetData>
    <row r="2" spans="2:12" ht="44.25" customHeight="1" x14ac:dyDescent="0.45">
      <c r="B2" s="22" t="s">
        <v>648</v>
      </c>
      <c r="C2" s="22"/>
      <c r="D2" s="22"/>
      <c r="E2" s="22"/>
      <c r="F2" s="22"/>
      <c r="G2" s="22"/>
      <c r="H2" s="22"/>
      <c r="I2" s="22"/>
      <c r="J2" s="22"/>
      <c r="K2" s="22"/>
      <c r="L2" s="22"/>
    </row>
    <row r="3" spans="2:12" ht="38.25" customHeight="1" x14ac:dyDescent="0.7">
      <c r="B3" s="23" t="s">
        <v>642</v>
      </c>
      <c r="C3" s="23"/>
      <c r="D3" s="23"/>
      <c r="E3" s="23"/>
      <c r="F3" s="23"/>
      <c r="G3" s="23"/>
      <c r="H3" s="23"/>
      <c r="I3" s="23"/>
      <c r="J3" s="23"/>
      <c r="K3" s="23"/>
      <c r="L3" s="23"/>
    </row>
    <row r="5" spans="2:12" x14ac:dyDescent="0.45">
      <c r="B5" s="18" t="s">
        <v>643</v>
      </c>
      <c r="D5" s="18" t="s">
        <v>644</v>
      </c>
      <c r="E5" s="2"/>
      <c r="F5" s="18" t="s">
        <v>646</v>
      </c>
      <c r="G5" s="2"/>
      <c r="H5" s="18" t="s">
        <v>649</v>
      </c>
      <c r="I5" s="2"/>
      <c r="J5" s="18" t="s">
        <v>647</v>
      </c>
    </row>
    <row r="6" spans="2:12" ht="26.65" x14ac:dyDescent="0.85">
      <c r="B6" s="19">
        <v>487</v>
      </c>
      <c r="C6" s="17"/>
      <c r="D6" s="19" t="s">
        <v>645</v>
      </c>
      <c r="E6" s="19"/>
      <c r="F6" s="20">
        <f>MAX(EmployeeData[Salary])</f>
        <v>19890</v>
      </c>
      <c r="G6" s="19"/>
      <c r="H6" s="21">
        <f ca="1">AVERAGE(EmployeeData[Total Years Of Work])</f>
        <v>14.782340862422998</v>
      </c>
      <c r="I6" s="19"/>
      <c r="J6" s="19">
        <f>COUNTA(_xlfn.UNIQUE(EmployeeData[Nationality]))</f>
        <v>12</v>
      </c>
    </row>
  </sheetData>
  <mergeCells count="2">
    <mergeCell ref="B2:L2"/>
    <mergeCell ref="B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Analysis</vt:lpstr>
      <vt:lpstr>HR Summary</vt:lpstr>
    </vt:vector>
  </TitlesOfParts>
  <Company>KCA Deutag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Noble</dc:creator>
  <cp:lastModifiedBy>Alan Noble</cp:lastModifiedBy>
  <dcterms:created xsi:type="dcterms:W3CDTF">2026-08-09T11:43:05Z</dcterms:created>
  <dcterms:modified xsi:type="dcterms:W3CDTF">2026-08-15T12:41:48Z</dcterms:modified>
</cp:coreProperties>
</file>